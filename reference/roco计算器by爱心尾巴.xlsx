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22210538-F582-4404-9E30-E41CD2D04C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配置与伤害" sheetId="1" r:id="rId1"/>
    <sheet name="速度线简化版" sheetId="3" r:id="rId2"/>
    <sheet name="速度线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3" l="1"/>
  <c r="E12" i="3"/>
  <c r="E76" i="3"/>
  <c r="C76" i="3" s="1"/>
  <c r="E70" i="3"/>
  <c r="C70" i="3" s="1"/>
  <c r="E64" i="3"/>
  <c r="C64" i="3" s="1"/>
  <c r="E75" i="3"/>
  <c r="C75" i="3" s="1"/>
  <c r="E68" i="3"/>
  <c r="C68" i="3" s="1"/>
  <c r="E59" i="3"/>
  <c r="C59" i="3" s="1"/>
  <c r="E74" i="3"/>
  <c r="C74" i="3" s="1"/>
  <c r="E66" i="3"/>
  <c r="C66" i="3" s="1"/>
  <c r="E55" i="3"/>
  <c r="C55" i="3" s="1"/>
  <c r="E73" i="3"/>
  <c r="C73" i="3" s="1"/>
  <c r="E63" i="3"/>
  <c r="C63" i="3" s="1"/>
  <c r="E52" i="3"/>
  <c r="C52" i="3" s="1"/>
  <c r="E72" i="3"/>
  <c r="C72" i="3" s="1"/>
  <c r="E61" i="3"/>
  <c r="C61" i="3" s="1"/>
  <c r="E49" i="3"/>
  <c r="C49" i="3" s="1"/>
  <c r="E71" i="3"/>
  <c r="C71" i="3"/>
  <c r="E57" i="3"/>
  <c r="C57" i="3" s="1"/>
  <c r="E46" i="3"/>
  <c r="C46" i="3" s="1"/>
  <c r="E69" i="3"/>
  <c r="C69" i="3" s="1"/>
  <c r="E54" i="3"/>
  <c r="C54" i="3" s="1"/>
  <c r="E41" i="3"/>
  <c r="C41" i="3"/>
  <c r="E67" i="3"/>
  <c r="C67" i="3" s="1"/>
  <c r="E51" i="3"/>
  <c r="C51" i="3" s="1"/>
  <c r="E37" i="3"/>
  <c r="C37" i="3" s="1"/>
  <c r="E65" i="3"/>
  <c r="C65" i="3" s="1"/>
  <c r="E48" i="3"/>
  <c r="C48" i="3" s="1"/>
  <c r="E34" i="3"/>
  <c r="C34" i="3" s="1"/>
  <c r="E62" i="3"/>
  <c r="C62" i="3" s="1"/>
  <c r="E45" i="3"/>
  <c r="C45" i="3" s="1"/>
  <c r="E31" i="3"/>
  <c r="C31" i="3" s="1"/>
  <c r="E60" i="3"/>
  <c r="C60" i="3" s="1"/>
  <c r="E43" i="3"/>
  <c r="C43" i="3" s="1"/>
  <c r="E29" i="3"/>
  <c r="C29" i="3" s="1"/>
  <c r="E58" i="3"/>
  <c r="C58" i="3" s="1"/>
  <c r="E40" i="3"/>
  <c r="C40" i="3" s="1"/>
  <c r="E25" i="3"/>
  <c r="C25" i="3" s="1"/>
  <c r="E56" i="3"/>
  <c r="C56" i="3" s="1"/>
  <c r="E39" i="3"/>
  <c r="C39" i="3" s="1"/>
  <c r="E23" i="3"/>
  <c r="C23" i="3" s="1"/>
  <c r="E53" i="3"/>
  <c r="C53" i="3" s="1"/>
  <c r="E36" i="3"/>
  <c r="C36" i="3" s="1"/>
  <c r="E20" i="3"/>
  <c r="C20" i="3" s="1"/>
  <c r="E50" i="3"/>
  <c r="C50" i="3"/>
  <c r="E33" i="3"/>
  <c r="C33" i="3" s="1"/>
  <c r="E18" i="3"/>
  <c r="C18" i="3" s="1"/>
  <c r="E47" i="3"/>
  <c r="C47" i="3" s="1"/>
  <c r="E30" i="3"/>
  <c r="C30" i="3" s="1"/>
  <c r="E15" i="3"/>
  <c r="C15" i="3" s="1"/>
  <c r="E44" i="3"/>
  <c r="C44" i="3" s="1"/>
  <c r="E28" i="3"/>
  <c r="C28" i="3" s="1"/>
  <c r="E14" i="3"/>
  <c r="C14" i="3" s="1"/>
  <c r="E42" i="3"/>
  <c r="C42" i="3"/>
  <c r="E24" i="3"/>
  <c r="C24" i="3" s="1"/>
  <c r="E11" i="3"/>
  <c r="C11" i="3" s="1"/>
  <c r="E38" i="3"/>
  <c r="C38" i="3" s="1"/>
  <c r="E22" i="3"/>
  <c r="C22" i="3"/>
  <c r="E10" i="3"/>
  <c r="C10" i="3" s="1"/>
  <c r="E35" i="3"/>
  <c r="C35" i="3" s="1"/>
  <c r="E19" i="3"/>
  <c r="C19" i="3" s="1"/>
  <c r="E8" i="3"/>
  <c r="C8" i="3" s="1"/>
  <c r="E32" i="3"/>
  <c r="C32" i="3" s="1"/>
  <c r="E17" i="3"/>
  <c r="C17" i="3"/>
  <c r="E6" i="3"/>
  <c r="C6" i="3" s="1"/>
  <c r="E26" i="3"/>
  <c r="C26" i="3"/>
  <c r="E13" i="3"/>
  <c r="C13" i="3" s="1"/>
  <c r="E3" i="3"/>
  <c r="C3" i="3" s="1"/>
  <c r="C14" i="2"/>
  <c r="C29" i="2"/>
  <c r="C32" i="2"/>
  <c r="C7" i="2"/>
  <c r="C15" i="2"/>
  <c r="C30" i="2"/>
  <c r="C47" i="2"/>
  <c r="C17" i="2"/>
  <c r="C31" i="2"/>
  <c r="C45" i="2"/>
  <c r="C48" i="2"/>
  <c r="C69" i="2"/>
  <c r="C49" i="2"/>
  <c r="C70" i="2"/>
  <c r="C63" i="2"/>
  <c r="E73" i="2"/>
  <c r="C73" i="2" s="1"/>
  <c r="E72" i="2"/>
  <c r="C72" i="2" s="1"/>
  <c r="E67" i="2"/>
  <c r="C67" i="2" s="1"/>
  <c r="E65" i="2"/>
  <c r="C65" i="2" s="1"/>
  <c r="E61" i="2"/>
  <c r="C61" i="2" s="1"/>
  <c r="E56" i="2"/>
  <c r="C56" i="2" s="1"/>
  <c r="E55" i="2"/>
  <c r="C55" i="2" s="1"/>
  <c r="E37" i="2"/>
  <c r="C37" i="2" s="1"/>
  <c r="E36" i="2"/>
  <c r="C36" i="2" s="1"/>
  <c r="E22" i="2"/>
  <c r="C22" i="2" s="1"/>
  <c r="E4" i="2"/>
  <c r="C4" i="2" s="1"/>
  <c r="E2" i="2"/>
  <c r="C2" i="2" s="1"/>
  <c r="E9" i="2"/>
  <c r="C9" i="2" s="1"/>
  <c r="E12" i="2"/>
  <c r="C12" i="2" s="1"/>
  <c r="E71" i="2"/>
  <c r="C71" i="2" s="1"/>
  <c r="E70" i="2"/>
  <c r="E69" i="2"/>
  <c r="E68" i="2"/>
  <c r="C68" i="2" s="1"/>
  <c r="E66" i="2"/>
  <c r="C66" i="2" s="1"/>
  <c r="E64" i="2"/>
  <c r="C64" i="2" s="1"/>
  <c r="E63" i="2"/>
  <c r="E62" i="2"/>
  <c r="C62" i="2" s="1"/>
  <c r="E60" i="2"/>
  <c r="C60" i="2" s="1"/>
  <c r="E59" i="2"/>
  <c r="C59" i="2" s="1"/>
  <c r="E58" i="2"/>
  <c r="C58" i="2" s="1"/>
  <c r="E57" i="2"/>
  <c r="C57" i="2" s="1"/>
  <c r="E54" i="2"/>
  <c r="C54" i="2" s="1"/>
  <c r="E53" i="2"/>
  <c r="C53" i="2" s="1"/>
  <c r="E52" i="2"/>
  <c r="C52" i="2" s="1"/>
  <c r="E51" i="2"/>
  <c r="C51" i="2" s="1"/>
  <c r="E50" i="2"/>
  <c r="C50" i="2" s="1"/>
  <c r="E49" i="2"/>
  <c r="E48" i="2"/>
  <c r="E47" i="2"/>
  <c r="E46" i="2"/>
  <c r="C46" i="2" s="1"/>
  <c r="E45" i="2"/>
  <c r="E44" i="2"/>
  <c r="C44" i="2" s="1"/>
  <c r="E42" i="2"/>
  <c r="C42" i="2" s="1"/>
  <c r="E41" i="2"/>
  <c r="C41" i="2" s="1"/>
  <c r="E43" i="2"/>
  <c r="C43" i="2" s="1"/>
  <c r="E40" i="2"/>
  <c r="C40" i="2" s="1"/>
  <c r="E39" i="2"/>
  <c r="C39" i="2" s="1"/>
  <c r="E38" i="2"/>
  <c r="C38" i="2" s="1"/>
  <c r="E35" i="2"/>
  <c r="C35" i="2" s="1"/>
  <c r="E34" i="2"/>
  <c r="C34" i="2" s="1"/>
  <c r="E33" i="2"/>
  <c r="C33" i="2" s="1"/>
  <c r="E32" i="2"/>
  <c r="E31" i="2"/>
  <c r="E30" i="2"/>
  <c r="E29" i="2"/>
  <c r="E28" i="2"/>
  <c r="C28" i="2" s="1"/>
  <c r="E27" i="2"/>
  <c r="C27" i="2" s="1"/>
  <c r="E26" i="2"/>
  <c r="C26" i="2" s="1"/>
  <c r="E24" i="2"/>
  <c r="C24" i="2" s="1"/>
  <c r="E23" i="2"/>
  <c r="C23" i="2" s="1"/>
  <c r="E25" i="2"/>
  <c r="C25" i="2" s="1"/>
  <c r="E21" i="2"/>
  <c r="C21" i="2" s="1"/>
  <c r="E20" i="2"/>
  <c r="C20" i="2" s="1"/>
  <c r="E19" i="2"/>
  <c r="C19" i="2" s="1"/>
  <c r="E18" i="2"/>
  <c r="C18" i="2" s="1"/>
  <c r="E17" i="2"/>
  <c r="E16" i="2"/>
  <c r="C16" i="2" s="1"/>
  <c r="E15" i="2"/>
  <c r="E14" i="2"/>
  <c r="E13" i="2"/>
  <c r="C13" i="2" s="1"/>
  <c r="E10" i="2"/>
  <c r="C10" i="2" s="1"/>
  <c r="E11" i="2"/>
  <c r="C11" i="2" s="1"/>
  <c r="E8" i="2"/>
  <c r="C8" i="2" s="1"/>
  <c r="E7" i="2"/>
  <c r="E6" i="2"/>
  <c r="C6" i="2" s="1"/>
  <c r="E5" i="2"/>
  <c r="C5" i="2" s="1"/>
  <c r="E3" i="2"/>
  <c r="C3" i="2" s="1"/>
  <c r="AD22" i="1"/>
  <c r="AC22" i="1"/>
  <c r="M4" i="1" l="1"/>
  <c r="AC6" i="1"/>
  <c r="AD6" i="1"/>
  <c r="AE6" i="1"/>
  <c r="AC16" i="1"/>
  <c r="F18" i="1" s="1"/>
  <c r="AD16" i="1"/>
  <c r="AE16" i="1"/>
  <c r="AE20" i="1"/>
  <c r="AD20" i="1"/>
  <c r="AC20" i="1"/>
  <c r="F19" i="1" s="1"/>
  <c r="AE19" i="1"/>
  <c r="AD19" i="1"/>
  <c r="AC19" i="1"/>
  <c r="F16" i="1" s="1"/>
  <c r="AE18" i="1"/>
  <c r="AD18" i="1"/>
  <c r="AC18" i="1"/>
  <c r="F15" i="1" s="1"/>
  <c r="AE15" i="1"/>
  <c r="AD15" i="1"/>
  <c r="AC15" i="1"/>
  <c r="F17" i="1" s="1"/>
  <c r="AE14" i="1"/>
  <c r="AD14" i="1"/>
  <c r="AC14" i="1"/>
  <c r="F14" i="1" s="1"/>
  <c r="F8" i="1" l="1"/>
  <c r="J18" i="1"/>
  <c r="K17" i="1"/>
  <c r="I17" i="1"/>
  <c r="H18" i="1"/>
  <c r="I18" i="1"/>
  <c r="K18" i="1"/>
  <c r="H17" i="1"/>
  <c r="J17" i="1"/>
  <c r="AC5" i="1"/>
  <c r="F7" i="1" l="1"/>
  <c r="AE9" i="1"/>
  <c r="AE5" i="1"/>
  <c r="AE10" i="1"/>
  <c r="AD9" i="1"/>
  <c r="AD5" i="1"/>
  <c r="AD10" i="1"/>
  <c r="AC9" i="1"/>
  <c r="F6" i="1" s="1"/>
  <c r="AC10" i="1"/>
  <c r="F9" i="1" l="1"/>
  <c r="AE8" i="1"/>
  <c r="AD8" i="1"/>
  <c r="AC8" i="1"/>
  <c r="AC4" i="1"/>
  <c r="AE4" i="1"/>
  <c r="AD4" i="1"/>
  <c r="N17" i="1" s="1"/>
  <c r="N18" i="1" l="1"/>
  <c r="F5" i="1"/>
  <c r="N4" i="1" s="1"/>
  <c r="O4" i="1" s="1"/>
  <c r="P18" i="1"/>
  <c r="O18" i="1"/>
  <c r="M18" i="1"/>
  <c r="P17" i="1"/>
  <c r="M17" i="1"/>
  <c r="O17" i="1"/>
  <c r="F4" i="1"/>
  <c r="P4" i="1" l="1"/>
</calcChain>
</file>

<file path=xl/sharedStrings.xml><?xml version="1.0" encoding="utf-8"?>
<sst xmlns="http://schemas.openxmlformats.org/spreadsheetml/2006/main" count="339" uniqueCount="157">
  <si>
    <t>种族值</t>
    <phoneticPr fontId="1" type="noConversion"/>
  </si>
  <si>
    <t>实际数值</t>
    <phoneticPr fontId="1" type="noConversion"/>
  </si>
  <si>
    <t>生命</t>
    <phoneticPr fontId="1" type="noConversion"/>
  </si>
  <si>
    <t>正面性格</t>
    <phoneticPr fontId="1" type="noConversion"/>
  </si>
  <si>
    <t>负面性格</t>
    <phoneticPr fontId="1" type="noConversion"/>
  </si>
  <si>
    <t>生命x防御</t>
    <phoneticPr fontId="1" type="noConversion"/>
  </si>
  <si>
    <t>1.2生命</t>
    <phoneticPr fontId="1" type="noConversion"/>
  </si>
  <si>
    <t>物攻</t>
    <phoneticPr fontId="1" type="noConversion"/>
  </si>
  <si>
    <t>魔攻</t>
    <phoneticPr fontId="1" type="noConversion"/>
  </si>
  <si>
    <t>物防</t>
    <phoneticPr fontId="1" type="noConversion"/>
  </si>
  <si>
    <t>魔防</t>
    <phoneticPr fontId="1" type="noConversion"/>
  </si>
  <si>
    <t>速度</t>
    <phoneticPr fontId="1" type="noConversion"/>
  </si>
  <si>
    <t>1.2物防</t>
    <phoneticPr fontId="1" type="noConversion"/>
  </si>
  <si>
    <t>1.2魔防</t>
    <phoneticPr fontId="1" type="noConversion"/>
  </si>
  <si>
    <t>能力值</t>
    <phoneticPr fontId="1" type="noConversion"/>
  </si>
  <si>
    <t>无</t>
  </si>
  <si>
    <t>下有数据，请勿更改</t>
    <phoneticPr fontId="1" type="noConversion"/>
  </si>
  <si>
    <t>造成伤害</t>
    <phoneticPr fontId="1" type="noConversion"/>
  </si>
  <si>
    <t>物攻</t>
  </si>
  <si>
    <t>伤害计算</t>
    <phoneticPr fontId="1" type="noConversion"/>
  </si>
  <si>
    <t>百分制%</t>
    <phoneticPr fontId="1" type="noConversion"/>
  </si>
  <si>
    <t>几次击杀</t>
    <phoneticPr fontId="1" type="noConversion"/>
  </si>
  <si>
    <t>技能</t>
    <phoneticPr fontId="1" type="noConversion"/>
  </si>
  <si>
    <t>属性</t>
    <phoneticPr fontId="1" type="noConversion"/>
  </si>
  <si>
    <t>分类</t>
    <phoneticPr fontId="1" type="noConversion"/>
  </si>
  <si>
    <t>威力</t>
    <phoneticPr fontId="1" type="noConversion"/>
  </si>
  <si>
    <t>能耗</t>
    <phoneticPr fontId="1" type="noConversion"/>
  </si>
  <si>
    <t>性格</t>
    <phoneticPr fontId="1" type="noConversion"/>
  </si>
  <si>
    <t>血脉</t>
    <phoneticPr fontId="1" type="noConversion"/>
  </si>
  <si>
    <t>推荐队友</t>
    <phoneticPr fontId="1" type="noConversion"/>
  </si>
  <si>
    <t>靶子</t>
    <phoneticPr fontId="1" type="noConversion"/>
  </si>
  <si>
    <t>能力值</t>
    <phoneticPr fontId="1" type="noConversion"/>
  </si>
  <si>
    <t>靶子综合耐久性格对比</t>
    <phoneticPr fontId="1" type="noConversion"/>
  </si>
  <si>
    <t>目标情况</t>
    <phoneticPr fontId="1" type="noConversion"/>
  </si>
  <si>
    <t>伤害</t>
    <phoneticPr fontId="1" type="noConversion"/>
  </si>
  <si>
    <t>几次击杀</t>
    <phoneticPr fontId="1" type="noConversion"/>
  </si>
  <si>
    <t>进攻技能</t>
    <phoneticPr fontId="1" type="noConversion"/>
  </si>
  <si>
    <t>进攻目标</t>
    <phoneticPr fontId="1" type="noConversion"/>
  </si>
  <si>
    <t>输出手综合耐久性格对比</t>
    <phoneticPr fontId="1" type="noConversion"/>
  </si>
  <si>
    <t>靶子配置</t>
    <phoneticPr fontId="1" type="noConversion"/>
  </si>
  <si>
    <t>个体值</t>
    <phoneticPr fontId="1" type="noConversion"/>
  </si>
  <si>
    <t>性格</t>
    <phoneticPr fontId="1" type="noConversion"/>
  </si>
  <si>
    <t>性格</t>
    <phoneticPr fontId="1" type="noConversion"/>
  </si>
  <si>
    <t>修正系数</t>
    <phoneticPr fontId="1" type="noConversion"/>
  </si>
  <si>
    <t>本系加成</t>
  </si>
  <si>
    <t>属性克制</t>
  </si>
  <si>
    <t>连击数</t>
  </si>
  <si>
    <t>修正系数</t>
    <phoneticPr fontId="1" type="noConversion"/>
  </si>
  <si>
    <t>增减益</t>
    <phoneticPr fontId="1" type="noConversion"/>
  </si>
  <si>
    <t>其他</t>
    <phoneticPr fontId="1" type="noConversion"/>
  </si>
  <si>
    <t>技能威力</t>
    <phoneticPr fontId="1" type="noConversion"/>
  </si>
  <si>
    <t>作者：B站 爱心尾巴</t>
    <phoneticPr fontId="1" type="noConversion"/>
  </si>
  <si>
    <t>配置1：</t>
    <phoneticPr fontId="1" type="noConversion"/>
  </si>
  <si>
    <t>种族</t>
    <phoneticPr fontId="1" type="noConversion"/>
  </si>
  <si>
    <t>资质</t>
    <phoneticPr fontId="1" type="noConversion"/>
  </si>
  <si>
    <t>举例</t>
    <phoneticPr fontId="1" type="noConversion"/>
  </si>
  <si>
    <t>150极</t>
    <phoneticPr fontId="1" type="noConversion"/>
  </si>
  <si>
    <t>145极</t>
    <phoneticPr fontId="1" type="noConversion"/>
  </si>
  <si>
    <t>140极</t>
  </si>
  <si>
    <t>135极</t>
  </si>
  <si>
    <t>130极</t>
  </si>
  <si>
    <t>125极</t>
  </si>
  <si>
    <t>120极</t>
  </si>
  <si>
    <t>150满</t>
    <phoneticPr fontId="1" type="noConversion"/>
  </si>
  <si>
    <t>115极</t>
    <phoneticPr fontId="1" type="noConversion"/>
  </si>
  <si>
    <t>145满</t>
    <phoneticPr fontId="1" type="noConversion"/>
  </si>
  <si>
    <t>140满</t>
    <phoneticPr fontId="1" type="noConversion"/>
  </si>
  <si>
    <t>110极</t>
    <phoneticPr fontId="1" type="noConversion"/>
  </si>
  <si>
    <t>135满</t>
    <phoneticPr fontId="1" type="noConversion"/>
  </si>
  <si>
    <t>105极</t>
    <phoneticPr fontId="1" type="noConversion"/>
  </si>
  <si>
    <t>130满</t>
    <phoneticPr fontId="1" type="noConversion"/>
  </si>
  <si>
    <t>100极</t>
    <phoneticPr fontId="1" type="noConversion"/>
  </si>
  <si>
    <t>125满</t>
    <phoneticPr fontId="1" type="noConversion"/>
  </si>
  <si>
    <t>95极</t>
    <phoneticPr fontId="1" type="noConversion"/>
  </si>
  <si>
    <t>120满</t>
    <phoneticPr fontId="1" type="noConversion"/>
  </si>
  <si>
    <t>90极</t>
    <phoneticPr fontId="1" type="noConversion"/>
  </si>
  <si>
    <t>115满</t>
    <phoneticPr fontId="1" type="noConversion"/>
  </si>
  <si>
    <t>110满</t>
    <phoneticPr fontId="1" type="noConversion"/>
  </si>
  <si>
    <t>85极</t>
    <phoneticPr fontId="1" type="noConversion"/>
  </si>
  <si>
    <t>105满</t>
    <phoneticPr fontId="1" type="noConversion"/>
  </si>
  <si>
    <t>80极</t>
    <phoneticPr fontId="1" type="noConversion"/>
  </si>
  <si>
    <t>100满</t>
    <phoneticPr fontId="1" type="noConversion"/>
  </si>
  <si>
    <t>75极</t>
    <phoneticPr fontId="1" type="noConversion"/>
  </si>
  <si>
    <t>95满</t>
    <phoneticPr fontId="1" type="noConversion"/>
  </si>
  <si>
    <t>70极</t>
    <phoneticPr fontId="1" type="noConversion"/>
  </si>
  <si>
    <t>90满</t>
    <phoneticPr fontId="1" type="noConversion"/>
  </si>
  <si>
    <t>65极</t>
    <phoneticPr fontId="1" type="noConversion"/>
  </si>
  <si>
    <t>85满</t>
    <phoneticPr fontId="1" type="noConversion"/>
  </si>
  <si>
    <t>80满</t>
    <phoneticPr fontId="1" type="noConversion"/>
  </si>
  <si>
    <t>60极</t>
    <phoneticPr fontId="1" type="noConversion"/>
  </si>
  <si>
    <t>75满</t>
    <phoneticPr fontId="1" type="noConversion"/>
  </si>
  <si>
    <t>55极</t>
    <phoneticPr fontId="1" type="noConversion"/>
  </si>
  <si>
    <t>70满</t>
    <phoneticPr fontId="1" type="noConversion"/>
  </si>
  <si>
    <t>50极</t>
    <phoneticPr fontId="1" type="noConversion"/>
  </si>
  <si>
    <t>65满</t>
    <phoneticPr fontId="1" type="noConversion"/>
  </si>
  <si>
    <t>60满</t>
    <phoneticPr fontId="1" type="noConversion"/>
  </si>
  <si>
    <t>55满</t>
    <phoneticPr fontId="1" type="noConversion"/>
  </si>
  <si>
    <t>50满</t>
    <phoneticPr fontId="1" type="noConversion"/>
  </si>
  <si>
    <t>魔眷鸟 卡瓦重雪山 厉毒修萝 星光狮</t>
  </si>
  <si>
    <t>落陨星兔 卡瓦重草地 影狸 火神 秩序鱿墨 烈火战神</t>
  </si>
  <si>
    <t>皇家狮鹫高山地 圣羽翼王 雅丹鬃 裘卡 棋骑士 卡瓦重沙地 暮星辰 龙鱼 神谕鲨 酷拉 彩蝶鲨 电球咩咩 星光狮月光 电企鹅 棋契陛下</t>
  </si>
  <si>
    <t>咔咔鸟 抹茶布丁 音速犬 风暴战犬 皇家狮鹫崖间地 椰浆布丁 熔岩布丁 风滚暮虫 恶魔狼王 恶魔狼 荆棘电环 海枝枝翠绿 画间法师手 上岸蛙 黑羽夫人 爵士鹿 波普鹿</t>
  </si>
  <si>
    <t>噼啪鸟</t>
    <phoneticPr fontId="1" type="noConversion"/>
  </si>
  <si>
    <t>绅士鸡 疾光千兽 小皮球 花影羚羊 梦想三三 奇梦咪 海枝枝碧蓝、杏黄、洋红 捕尘长绒 急急鸭 芋香巨角蛛 遁地鼠</t>
    <phoneticPr fontId="1" type="noConversion"/>
  </si>
  <si>
    <t>游蛇魔使 化蝶幽冥眼 叮叮恶魔 春花兔 起来鸭 燃了鸭 圆号鱼 针叶巡林 里拉鳐 鸭吉吉国王 鸭吉吉紧实 鸭吉吉 利灯鱼 嘟嘟锅 画间沉铁兽 锤头鹳 白金独角兽 彩虹独角兽 千棘盔磨损 月亮砣</t>
    <phoneticPr fontId="1" type="noConversion"/>
  </si>
  <si>
    <t>寒音蛇 圣代甜甜 帕帕斯卡 陨星虫 燃薪虫 龙息帕尔 千棘盔 花衣蝶 等等鸭 尖嘴狐仙 石冠王蜥球球尾巴 化蝶 海豹船长 公平鸽 千棘海刺</t>
    <phoneticPr fontId="1" type="noConversion"/>
  </si>
  <si>
    <t>琉璃水母 巨灵石 武者鸡 白发路路 泥吼牙 古卷执政官 古卷匣魔像 化蝶喵喵 石冠王蜥 怒目怂猫</t>
    <phoneticPr fontId="1" type="noConversion"/>
  </si>
  <si>
    <t>92极</t>
    <phoneticPr fontId="1" type="noConversion"/>
  </si>
  <si>
    <t>92满</t>
    <phoneticPr fontId="1" type="noConversion"/>
  </si>
  <si>
    <t>迪莫</t>
    <phoneticPr fontId="1" type="noConversion"/>
  </si>
  <si>
    <t xml:space="preserve">声波缇塔 伊兰亚龙 伊兰龙 伊贝粉粉 魔草巫灵 化蝶奇丽花 卡洛儿 棋绮后 红绒十字 冰钻布鲁斯 蹦蹦花象牙球 雪影娃娃 雪影冰灵 古啦多 </t>
    <phoneticPr fontId="1" type="noConversion"/>
  </si>
  <si>
    <t>蹦蹦花彩玉球、海神球 蹦蹦果 棋祈督 水灵 圣水守护 巨噬针鼹 仪式巨像 祭礼巨像 立方人</t>
    <phoneticPr fontId="1" type="noConversion"/>
  </si>
  <si>
    <t>卷胡巨獭 夜枭 迷迷箱怪 水泡壳蜕皮 炽心勇狮 幽影树 幻影荆棘 蹦床松鼠 奇丽花 奇丽果 蹦蹦花短毛球 月牙雪熊</t>
    <phoneticPr fontId="1" type="noConversion"/>
  </si>
  <si>
    <t>幻影灵菇 水泡壳 棋齐垒 瞌睡王 罗隐 权杖-V 铠甲虫</t>
    <phoneticPr fontId="1" type="noConversion"/>
  </si>
  <si>
    <t>记忆石 九幽菇 混乱鱿彩 布克棱岩 迷嶂布莱克 嗜波螺 晶石蜗烧蓝黄金、西瓜碧玺 黑猫巫师 黑猫密探</t>
    <phoneticPr fontId="1" type="noConversion"/>
  </si>
  <si>
    <t>蒲公英娃娃 圣剑-X 圣剑骑士 烈火守护 鳗尾兽 钻石蜗 晶石蜗蓝锥矿、火山琉璃、星彩榴石、莲花刚玉</t>
    <phoneticPr fontId="1" type="noConversion"/>
  </si>
  <si>
    <t>寂灭骨龙 菊花梨 雪巨人 火焰猿 怖哭菇 格兰球</t>
    <phoneticPr fontId="1" type="noConversion"/>
  </si>
  <si>
    <t>魔力猫 叶冕魔力猫 贝古斯 乌拉塔极昼</t>
    <phoneticPr fontId="1" type="noConversion"/>
  </si>
  <si>
    <t>波多西 乌拉塔极夜 深蓝鲸</t>
    <phoneticPr fontId="1" type="noConversion"/>
  </si>
  <si>
    <t>44极</t>
    <phoneticPr fontId="1" type="noConversion"/>
  </si>
  <si>
    <t>44满</t>
    <phoneticPr fontId="1" type="noConversion"/>
  </si>
  <si>
    <t>40极</t>
    <phoneticPr fontId="1" type="noConversion"/>
  </si>
  <si>
    <t>40满</t>
    <phoneticPr fontId="1" type="noConversion"/>
  </si>
  <si>
    <t>女王蜂</t>
    <phoneticPr fontId="1" type="noConversion"/>
  </si>
  <si>
    <t>花魁蜂后</t>
    <phoneticPr fontId="1" type="noConversion"/>
  </si>
  <si>
    <t>落陨星兔 影狸 火神 秩序鱿墨</t>
    <phoneticPr fontId="1" type="noConversion"/>
  </si>
  <si>
    <t>皇家狮鹫高山地 圣羽翼王 裘卡 棋骑士 龙鱼 酷拉 电球咩咩 电企鹅 棋契陛下</t>
    <phoneticPr fontId="1" type="noConversion"/>
  </si>
  <si>
    <t>咔咔鸟 抹茶布丁 音速犬 椰浆布丁 熔岩布丁 恶魔狼 荆棘电环 海枝枝翠绿 爵士鹿</t>
    <phoneticPr fontId="1" type="noConversion"/>
  </si>
  <si>
    <t>恶魔红钻 翼龙 朔夜伊芙 绒光优优 高脚鹬 幽冥眼 流浪鼠 翠顶夫人 兽花蕾 梦悠悠 闪电鳗鱼 食尘短绒 卷毛鸭 斑枭 窃光蚊 雪灵 粉耳星兔 岚鸟 霜翼领主 绒仙子</t>
    <phoneticPr fontId="1" type="noConversion"/>
  </si>
  <si>
    <t>恶魔红钻 翼龙 朔夜伊芙 绒光优优 翠顶夫人 食尘短绒 卷毛鸭 斑枭 粉耳星兔 岚鸟</t>
    <phoneticPr fontId="1" type="noConversion"/>
  </si>
  <si>
    <t>小皮球 花影羚羊 梦想三三 捕尘长绒 芋香巨角蛛</t>
    <phoneticPr fontId="1" type="noConversion"/>
  </si>
  <si>
    <t>化蝶幽冥眼春花兔 圆号鱼 针叶巡林 画间沉铁兽 白金独角兽 千棘盔磨损</t>
    <phoneticPr fontId="1" type="noConversion"/>
  </si>
  <si>
    <t>帕帕斯卡 陨星虫 燃薪虫 龙息帕尔 千棘盔 花衣蝶  尖嘴狐仙 石冠王蜥球球尾巴 海豹船长</t>
    <phoneticPr fontId="1" type="noConversion"/>
  </si>
  <si>
    <t>琉璃水母  白发路路 泥吼牙 古卷匣魔像 石冠王蜥</t>
    <phoneticPr fontId="1" type="noConversion"/>
  </si>
  <si>
    <t>声波缇塔 伊兰亚龙  魔草巫灵  棋绮后 蹦蹦花象牙球 雪影娃娃 雪影冰灵</t>
    <phoneticPr fontId="1" type="noConversion"/>
  </si>
  <si>
    <t>棋祈督 水灵 巨噬针鼹 立方人</t>
    <phoneticPr fontId="1" type="noConversion"/>
  </si>
  <si>
    <t>卷胡巨獭 迷迷箱怪 炽心勇狮 幽影树 蹦床松鼠</t>
    <phoneticPr fontId="1" type="noConversion"/>
  </si>
  <si>
    <t>波多西</t>
    <phoneticPr fontId="1" type="noConversion"/>
  </si>
  <si>
    <t>魔力猫 贝古斯</t>
    <phoneticPr fontId="1" type="noConversion"/>
  </si>
  <si>
    <t>寂灭骨龙 菊花梨 怖哭菇</t>
    <phoneticPr fontId="1" type="noConversion"/>
  </si>
  <si>
    <t>嗜波螺  黑猫巫师</t>
    <phoneticPr fontId="1" type="noConversion"/>
  </si>
  <si>
    <t>圣剑-X 鳗尾兽</t>
    <phoneticPr fontId="1" type="noConversion"/>
  </si>
  <si>
    <t>水泡壳 棋齐垒 瞌睡王 罗隐 铠甲虫</t>
    <phoneticPr fontId="1" type="noConversion"/>
  </si>
  <si>
    <t>迪莫（触发一次特性）</t>
    <phoneticPr fontId="1" type="noConversion"/>
  </si>
  <si>
    <t>花魁蜂后（队伍中有5只其他虫系）</t>
    <phoneticPr fontId="1" type="noConversion"/>
  </si>
  <si>
    <t>花魁蜂后（队伍中有4只其他虫系）</t>
    <phoneticPr fontId="1" type="noConversion"/>
  </si>
  <si>
    <t>花魁蜂后（队伍中有3只其他虫系）</t>
    <phoneticPr fontId="1" type="noConversion"/>
  </si>
  <si>
    <t>白金独角兽（折射+50速）</t>
    <phoneticPr fontId="1" type="noConversion"/>
  </si>
  <si>
    <t>有</t>
  </si>
  <si>
    <t>2倍</t>
  </si>
  <si>
    <t>70极</t>
    <phoneticPr fontId="1" type="noConversion"/>
  </si>
  <si>
    <t>黑猫巫师（触发特性+50速）</t>
    <phoneticPr fontId="1" type="noConversion"/>
  </si>
  <si>
    <t>70满</t>
    <phoneticPr fontId="1" type="noConversion"/>
  </si>
  <si>
    <t>陨星虫（绝缘球+50速）</t>
    <phoneticPr fontId="1" type="noConversion"/>
  </si>
  <si>
    <t>by爱心尾巴 2026/4/5</t>
    <phoneticPr fontId="1" type="noConversion"/>
  </si>
  <si>
    <t>绒光优优（触发特性+50速）</t>
    <phoneticPr fontId="1" type="noConversion"/>
  </si>
  <si>
    <t>恶魔狼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</si>
</sst>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2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color theme="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"/>
      <color rgb="FF2C3E5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2C3E5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"/>
      <color theme="0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2" fontId="0" fillId="4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2" fontId="5" fillId="0" borderId="0" xfId="0" applyNumberFormat="1" applyFont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6" fillId="4" borderId="1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8" fillId="2" borderId="1" xfId="0" applyFont="1" applyFill="1" applyBorder="1"/>
    <xf numFmtId="0" fontId="9" fillId="0" borderId="1" xfId="0" applyFont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10" fillId="2" borderId="1" xfId="0" applyFont="1" applyFill="1" applyBorder="1"/>
    <xf numFmtId="0" fontId="7" fillId="0" borderId="1" xfId="0" applyFont="1" applyBorder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/>
    </xf>
    <xf numFmtId="0" fontId="9" fillId="11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/>
    </xf>
    <xf numFmtId="0" fontId="8" fillId="4" borderId="0" xfId="0" applyFont="1" applyFill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7"/>
  <sheetViews>
    <sheetView tabSelected="1" zoomScale="145" zoomScaleNormal="145" workbookViewId="0">
      <selection activeCell="I9" sqref="I9:K9"/>
    </sheetView>
  </sheetViews>
  <sheetFormatPr defaultColWidth="8.875" defaultRowHeight="14.25" x14ac:dyDescent="0.2"/>
  <cols>
    <col min="1" max="1" width="8.875" style="1"/>
    <col min="2" max="2" width="8.875" style="1" customWidth="1"/>
    <col min="3" max="6" width="6.625" style="1" customWidth="1"/>
    <col min="7" max="7" width="8.875" style="1"/>
    <col min="8" max="11" width="6.625" style="1" customWidth="1"/>
    <col min="12" max="12" width="8.875" style="1" customWidth="1"/>
    <col min="13" max="13" width="9.75" style="1" customWidth="1"/>
    <col min="14" max="28" width="8.875" style="1"/>
    <col min="29" max="29" width="9.875" style="1" customWidth="1"/>
    <col min="30" max="30" width="9.5" style="1" customWidth="1"/>
    <col min="31" max="16384" width="8.875" style="1"/>
  </cols>
  <sheetData>
    <row r="1" spans="1:31" x14ac:dyDescent="0.2">
      <c r="A1" s="3"/>
      <c r="B1" s="51" t="s">
        <v>51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86" t="s">
        <v>16</v>
      </c>
      <c r="AD1" s="86"/>
      <c r="AE1" s="86"/>
    </row>
    <row r="2" spans="1:31" x14ac:dyDescent="0.2">
      <c r="A2" s="3"/>
      <c r="B2" s="85" t="s">
        <v>52</v>
      </c>
      <c r="C2" s="85"/>
      <c r="D2" s="85"/>
      <c r="E2" s="85"/>
      <c r="F2" s="85"/>
      <c r="G2" s="85"/>
      <c r="H2" s="85"/>
      <c r="I2" s="85"/>
      <c r="J2" s="85"/>
      <c r="K2" s="85"/>
      <c r="L2" s="3"/>
      <c r="M2" s="85" t="s">
        <v>19</v>
      </c>
      <c r="N2" s="85"/>
      <c r="O2" s="85"/>
      <c r="P2" s="85"/>
      <c r="Q2" s="3"/>
      <c r="R2" s="4"/>
      <c r="S2" s="88" t="s">
        <v>19</v>
      </c>
      <c r="T2" s="89"/>
      <c r="U2" s="89"/>
      <c r="V2" s="89"/>
      <c r="W2" s="89"/>
      <c r="X2" s="89"/>
      <c r="Y2" s="90"/>
      <c r="Z2" s="5"/>
      <c r="AA2" s="5"/>
      <c r="AB2" s="5"/>
      <c r="AC2" s="48"/>
      <c r="AD2" s="48"/>
      <c r="AE2" s="48"/>
    </row>
    <row r="3" spans="1:31" ht="14.45" customHeight="1" x14ac:dyDescent="0.2">
      <c r="A3" s="3"/>
      <c r="B3" s="46" t="s">
        <v>156</v>
      </c>
      <c r="C3" s="25" t="s">
        <v>0</v>
      </c>
      <c r="D3" s="25" t="s">
        <v>40</v>
      </c>
      <c r="E3" s="25" t="s">
        <v>41</v>
      </c>
      <c r="F3" s="25" t="s">
        <v>31</v>
      </c>
      <c r="G3" s="25" t="s">
        <v>22</v>
      </c>
      <c r="H3" s="25" t="s">
        <v>23</v>
      </c>
      <c r="I3" s="25" t="s">
        <v>24</v>
      </c>
      <c r="J3" s="25" t="s">
        <v>25</v>
      </c>
      <c r="K3" s="25" t="s">
        <v>26</v>
      </c>
      <c r="L3" s="3"/>
      <c r="M3" s="6" t="s">
        <v>43</v>
      </c>
      <c r="N3" s="2" t="s">
        <v>17</v>
      </c>
      <c r="O3" s="2" t="s">
        <v>20</v>
      </c>
      <c r="P3" s="2" t="s">
        <v>21</v>
      </c>
      <c r="Q3" s="3"/>
      <c r="R3" s="3"/>
      <c r="S3" s="8" t="s">
        <v>37</v>
      </c>
      <c r="T3" s="8" t="s">
        <v>33</v>
      </c>
      <c r="U3" s="8" t="s">
        <v>36</v>
      </c>
      <c r="V3" s="8" t="s">
        <v>50</v>
      </c>
      <c r="W3" s="87" t="s">
        <v>34</v>
      </c>
      <c r="X3" s="87"/>
      <c r="Y3" s="25" t="s">
        <v>35</v>
      </c>
      <c r="Z3" s="5"/>
      <c r="AA3" s="5"/>
      <c r="AB3" s="5"/>
      <c r="AC3" s="48" t="s">
        <v>1</v>
      </c>
      <c r="AD3" s="48" t="s">
        <v>3</v>
      </c>
      <c r="AE3" s="48" t="s">
        <v>4</v>
      </c>
    </row>
    <row r="4" spans="1:31" x14ac:dyDescent="0.2">
      <c r="A4" s="3"/>
      <c r="B4" s="10" t="s">
        <v>2</v>
      </c>
      <c r="C4" s="11">
        <v>100</v>
      </c>
      <c r="D4" s="11"/>
      <c r="E4" s="52" t="s">
        <v>15</v>
      </c>
      <c r="F4" s="13">
        <f>ROUND(IF(E4="加",AD4,IF(E4="减",AE4,(IF(E4="无",AC4,0)))),0)</f>
        <v>340</v>
      </c>
      <c r="G4" s="16"/>
      <c r="H4" s="17"/>
      <c r="I4" s="17" t="s">
        <v>18</v>
      </c>
      <c r="J4" s="17">
        <v>160</v>
      </c>
      <c r="K4" s="18"/>
      <c r="L4" s="3"/>
      <c r="M4" s="45">
        <f>AC22*AD22*P9*O9*Q9</f>
        <v>2.5</v>
      </c>
      <c r="N4" s="2">
        <f>ROUND(IF(I4="物攻",0.9*J4*M4*F5/F17,IF(I4="魔攻",0.9*F6*J4*M4/F18,0)),0)</f>
        <v>506</v>
      </c>
      <c r="O4" s="2">
        <f>100*N4/F14</f>
        <v>121.34292565947243</v>
      </c>
      <c r="P4" s="2">
        <f>F14/N4</f>
        <v>0.82411067193675891</v>
      </c>
      <c r="Q4" s="3"/>
      <c r="R4" s="3"/>
      <c r="S4" s="34"/>
      <c r="T4" s="37"/>
      <c r="U4" s="26"/>
      <c r="V4" s="27"/>
      <c r="W4" s="40"/>
      <c r="X4" s="27"/>
      <c r="Y4" s="12"/>
      <c r="Z4" s="5"/>
      <c r="AA4" s="5"/>
      <c r="AB4" s="5"/>
      <c r="AC4" s="48">
        <f>(1.7*C4+5.1*D4+70)+100</f>
        <v>340</v>
      </c>
      <c r="AD4" s="48">
        <f>(1.7*C4+5.1*D4+70)*1.2+100</f>
        <v>388</v>
      </c>
      <c r="AE4" s="48">
        <f>(1.7*C4+5.1*D4+70)*0.9+100</f>
        <v>316</v>
      </c>
    </row>
    <row r="5" spans="1:31" x14ac:dyDescent="0.2">
      <c r="A5" s="3"/>
      <c r="B5" s="10" t="s">
        <v>7</v>
      </c>
      <c r="C5" s="11">
        <v>120</v>
      </c>
      <c r="D5" s="11">
        <v>10</v>
      </c>
      <c r="E5" s="52" t="s">
        <v>15</v>
      </c>
      <c r="F5" s="13">
        <f>ROUND(IF(E5="加",AD8,IF(E5="减",AE8,(IF(E5="无",AC8,0)))),0)</f>
        <v>225</v>
      </c>
      <c r="G5" s="21"/>
      <c r="H5" s="22"/>
      <c r="I5" s="17" t="s">
        <v>18</v>
      </c>
      <c r="J5" s="22"/>
      <c r="K5" s="9"/>
      <c r="L5" s="3"/>
      <c r="M5" s="3"/>
      <c r="N5" s="3"/>
      <c r="O5" s="3"/>
      <c r="P5" s="3"/>
      <c r="Q5" s="3"/>
      <c r="R5" s="3"/>
      <c r="S5" s="32"/>
      <c r="T5" s="38"/>
      <c r="U5" s="10"/>
      <c r="V5" s="23"/>
      <c r="W5" s="11"/>
      <c r="X5" s="23"/>
      <c r="Y5" s="12"/>
      <c r="Z5" s="5"/>
      <c r="AA5" s="5"/>
      <c r="AB5" s="5"/>
      <c r="AC5" s="48">
        <f>(1.1*C7+3.3*D7+10)+50</f>
        <v>170</v>
      </c>
      <c r="AD5" s="48">
        <f>(1.1*C7+3.3*D7+10)*1.2+50</f>
        <v>194</v>
      </c>
      <c r="AE5" s="48">
        <f>(1.1*C7+3.3*D7+10)*0.9+50</f>
        <v>158</v>
      </c>
    </row>
    <row r="6" spans="1:31" x14ac:dyDescent="0.2">
      <c r="A6" s="3"/>
      <c r="B6" s="10" t="s">
        <v>8</v>
      </c>
      <c r="C6" s="11">
        <v>100</v>
      </c>
      <c r="D6" s="11"/>
      <c r="E6" s="52" t="s">
        <v>15</v>
      </c>
      <c r="F6" s="13">
        <f>ROUND(IF(E6="加",AD9,IF(E6="减",AE9,(IF(E6="无",AC9,0)))),0)</f>
        <v>170</v>
      </c>
      <c r="G6" s="21"/>
      <c r="H6" s="22"/>
      <c r="I6" s="17" t="s">
        <v>18</v>
      </c>
      <c r="J6" s="22"/>
      <c r="K6" s="9"/>
      <c r="L6" s="3"/>
      <c r="M6" s="3"/>
      <c r="N6" s="3"/>
      <c r="O6" s="3"/>
      <c r="P6" s="3"/>
      <c r="Q6" s="3"/>
      <c r="R6" s="3"/>
      <c r="S6" s="35"/>
      <c r="T6" s="33"/>
      <c r="U6" s="28"/>
      <c r="V6" s="29"/>
      <c r="W6" s="41"/>
      <c r="X6" s="29"/>
      <c r="Y6" s="12"/>
      <c r="Z6" s="5"/>
      <c r="AA6" s="5"/>
      <c r="AB6" s="5"/>
      <c r="AC6" s="48">
        <f>(1.1*C8+3.3*D8+10)+50</f>
        <v>170</v>
      </c>
      <c r="AD6" s="48">
        <f>(1.1*C8+3.3*D8+10)*1.2+50</f>
        <v>194</v>
      </c>
      <c r="AE6" s="48">
        <f>(1.1*C8+3.3*D8+10)*0.9+50</f>
        <v>158</v>
      </c>
    </row>
    <row r="7" spans="1:31" x14ac:dyDescent="0.2">
      <c r="A7" s="3"/>
      <c r="B7" s="10" t="s">
        <v>9</v>
      </c>
      <c r="C7" s="11">
        <v>100</v>
      </c>
      <c r="D7" s="11"/>
      <c r="E7" s="52" t="s">
        <v>15</v>
      </c>
      <c r="F7" s="13">
        <f>ROUND(IF(E7="加",AD5,IF(E7="减",AE5,(IF(E7="无",AC5,0)))),0)</f>
        <v>170</v>
      </c>
      <c r="G7" s="19"/>
      <c r="H7" s="20"/>
      <c r="I7" s="17" t="s">
        <v>18</v>
      </c>
      <c r="J7" s="76"/>
      <c r="K7" s="77"/>
      <c r="L7" s="3"/>
      <c r="M7" s="85" t="s">
        <v>47</v>
      </c>
      <c r="N7" s="85"/>
      <c r="O7" s="85"/>
      <c r="P7" s="85"/>
      <c r="Q7" s="85"/>
      <c r="R7" s="3"/>
      <c r="S7" s="32"/>
      <c r="T7" s="38"/>
      <c r="U7" s="10"/>
      <c r="V7" s="23"/>
      <c r="W7" s="11"/>
      <c r="X7" s="23"/>
      <c r="Y7" s="12"/>
      <c r="Z7" s="5"/>
      <c r="AA7" s="5"/>
      <c r="AB7" s="5"/>
      <c r="AC7" s="49"/>
      <c r="AD7" s="49"/>
      <c r="AE7" s="49"/>
    </row>
    <row r="8" spans="1:31" x14ac:dyDescent="0.2">
      <c r="A8" s="3"/>
      <c r="B8" s="10" t="s">
        <v>10</v>
      </c>
      <c r="C8" s="11">
        <v>100</v>
      </c>
      <c r="D8" s="11"/>
      <c r="E8" s="52" t="s">
        <v>15</v>
      </c>
      <c r="F8" s="12">
        <f>ROUND(IF(E8="加",AD6,IF(E8="减",AE6,(IF(E8="无",AC6,0)))),0)</f>
        <v>170</v>
      </c>
      <c r="G8" s="14" t="s">
        <v>27</v>
      </c>
      <c r="H8" s="15" t="s">
        <v>28</v>
      </c>
      <c r="I8" s="91" t="s">
        <v>29</v>
      </c>
      <c r="J8" s="91"/>
      <c r="K8" s="91"/>
      <c r="L8" s="3"/>
      <c r="M8" s="24" t="s">
        <v>44</v>
      </c>
      <c r="N8" s="2" t="s">
        <v>45</v>
      </c>
      <c r="O8" s="24" t="s">
        <v>48</v>
      </c>
      <c r="P8" s="2" t="s">
        <v>46</v>
      </c>
      <c r="Q8" s="24" t="s">
        <v>49</v>
      </c>
      <c r="R8" s="3"/>
      <c r="S8" s="35"/>
      <c r="T8" s="33"/>
      <c r="U8" s="28"/>
      <c r="V8" s="29"/>
      <c r="W8" s="41"/>
      <c r="X8" s="29"/>
      <c r="Y8" s="12"/>
      <c r="Z8" s="5"/>
      <c r="AA8" s="5"/>
      <c r="AB8" s="5"/>
      <c r="AC8" s="48">
        <f>(1.1*C5+3.3*D5+10)+50</f>
        <v>225</v>
      </c>
      <c r="AD8" s="48">
        <f>(1.1*C5+3.3*D5+10)*1.2+50</f>
        <v>260</v>
      </c>
      <c r="AE8" s="48">
        <f>(1.1*C5+3.3*D5+10)*0.9+50</f>
        <v>207.5</v>
      </c>
    </row>
    <row r="9" spans="1:31" x14ac:dyDescent="0.2">
      <c r="A9" s="3"/>
      <c r="B9" s="10" t="s">
        <v>11</v>
      </c>
      <c r="C9" s="11">
        <v>100</v>
      </c>
      <c r="D9" s="11"/>
      <c r="E9" s="52" t="s">
        <v>15</v>
      </c>
      <c r="F9" s="12">
        <f>ROUND(IF(E9="加",AD10,IF(E9="减",AE10,(IF(E9="无",AC10,0)))),0)</f>
        <v>170</v>
      </c>
      <c r="G9" s="23"/>
      <c r="H9" s="24"/>
      <c r="I9" s="92"/>
      <c r="J9" s="92"/>
      <c r="K9" s="92"/>
      <c r="L9" s="3"/>
      <c r="M9" s="24" t="s">
        <v>148</v>
      </c>
      <c r="N9" s="44" t="s">
        <v>149</v>
      </c>
      <c r="O9" s="24">
        <v>1</v>
      </c>
      <c r="P9" s="24">
        <v>1</v>
      </c>
      <c r="Q9" s="24">
        <v>1</v>
      </c>
      <c r="R9" s="3"/>
      <c r="S9" s="32"/>
      <c r="T9" s="38"/>
      <c r="U9" s="10"/>
      <c r="V9" s="23"/>
      <c r="W9" s="11"/>
      <c r="X9" s="23"/>
      <c r="Y9" s="12"/>
      <c r="Z9" s="5"/>
      <c r="AA9" s="5"/>
      <c r="AB9" s="5"/>
      <c r="AC9" s="48">
        <f>(1.1*C6+3.3*D6+10)+50</f>
        <v>170</v>
      </c>
      <c r="AD9" s="48">
        <f>(1.1*C6+3.3*D6+10)*1.2+50</f>
        <v>194</v>
      </c>
      <c r="AE9" s="48">
        <f>(1.1*C6+3.3*D6+10)*0.9+50</f>
        <v>158</v>
      </c>
    </row>
    <row r="10" spans="1:3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5"/>
      <c r="T10" s="33"/>
      <c r="U10" s="28"/>
      <c r="V10" s="29"/>
      <c r="W10" s="41"/>
      <c r="X10" s="29"/>
      <c r="Y10" s="12"/>
      <c r="Z10" s="5"/>
      <c r="AA10" s="5"/>
      <c r="AB10" s="5"/>
      <c r="AC10" s="48">
        <f>(1.1*C9+3.3*D9+10)+50</f>
        <v>170</v>
      </c>
      <c r="AD10" s="48">
        <f>(1.1*C9+3.3*D9+10)*1.2+50</f>
        <v>194</v>
      </c>
      <c r="AE10" s="48">
        <f>(1.1*C9+3.3*D9+10)*0.9+50</f>
        <v>158</v>
      </c>
    </row>
    <row r="11" spans="1:3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2"/>
      <c r="T11" s="38"/>
      <c r="U11" s="10"/>
      <c r="V11" s="23"/>
      <c r="W11" s="11"/>
      <c r="X11" s="23"/>
      <c r="Y11" s="12"/>
      <c r="Z11" s="5"/>
      <c r="AA11" s="5"/>
      <c r="AB11" s="5"/>
      <c r="AC11" s="49"/>
      <c r="AD11" s="48"/>
      <c r="AE11" s="48"/>
    </row>
    <row r="12" spans="1:31" x14ac:dyDescent="0.2">
      <c r="A12" s="3"/>
      <c r="B12" s="85" t="s">
        <v>39</v>
      </c>
      <c r="C12" s="85"/>
      <c r="D12" s="85"/>
      <c r="E12" s="85"/>
      <c r="F12" s="8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6"/>
      <c r="T12" s="39"/>
      <c r="U12" s="30"/>
      <c r="V12" s="31"/>
      <c r="W12" s="42"/>
      <c r="X12" s="31"/>
      <c r="Y12" s="12"/>
      <c r="Z12" s="5"/>
      <c r="AA12" s="5"/>
      <c r="AB12" s="5"/>
      <c r="AC12" s="48"/>
      <c r="AD12" s="48"/>
      <c r="AE12" s="48"/>
    </row>
    <row r="13" spans="1:31" x14ac:dyDescent="0.2">
      <c r="A13" s="3"/>
      <c r="B13" s="2" t="s">
        <v>30</v>
      </c>
      <c r="C13" s="2" t="s">
        <v>0</v>
      </c>
      <c r="D13" s="2" t="s">
        <v>40</v>
      </c>
      <c r="E13" s="2" t="s">
        <v>42</v>
      </c>
      <c r="F13" s="2" t="s">
        <v>14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6"/>
      <c r="T13" s="39"/>
      <c r="U13" s="30"/>
      <c r="V13" s="31"/>
      <c r="W13" s="42"/>
      <c r="X13" s="31"/>
      <c r="Y13" s="12"/>
      <c r="Z13" s="5"/>
      <c r="AA13" s="5"/>
      <c r="AB13" s="5"/>
      <c r="AC13" s="48" t="s">
        <v>1</v>
      </c>
      <c r="AD13" s="48" t="s">
        <v>3</v>
      </c>
      <c r="AE13" s="48" t="s">
        <v>4</v>
      </c>
    </row>
    <row r="14" spans="1:31" x14ac:dyDescent="0.2">
      <c r="A14" s="3"/>
      <c r="B14" s="2" t="s">
        <v>2</v>
      </c>
      <c r="C14" s="7">
        <v>115</v>
      </c>
      <c r="D14" s="7">
        <v>10</v>
      </c>
      <c r="E14" s="2" t="s">
        <v>15</v>
      </c>
      <c r="F14" s="2">
        <f>ROUND(IF(E14="加",AD14,IF(E14="减",AE14,(IF(E14="无",AC14,0)))),0)</f>
        <v>417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5"/>
      <c r="AA14" s="5"/>
      <c r="AB14" s="5"/>
      <c r="AC14" s="48">
        <f>(1.7*C14+5.1*D14+70)+100</f>
        <v>416.5</v>
      </c>
      <c r="AD14" s="48">
        <f>(1.7*C14+5.1*D14+70)*1.2+100</f>
        <v>479.8</v>
      </c>
      <c r="AE14" s="48">
        <f>(1.7*C14+5.1*D14+70)*0.9+100</f>
        <v>384.85</v>
      </c>
    </row>
    <row r="15" spans="1:31" x14ac:dyDescent="0.2">
      <c r="A15" s="3"/>
      <c r="B15" s="2" t="s">
        <v>7</v>
      </c>
      <c r="C15" s="2">
        <v>100</v>
      </c>
      <c r="D15" s="2"/>
      <c r="E15" s="2" t="s">
        <v>15</v>
      </c>
      <c r="F15" s="2">
        <f>ROUND(IF(E15="加",AD18,IF(E15="减",AE18,(IF(E15="无",AC18,0)))),0)</f>
        <v>170</v>
      </c>
      <c r="G15" s="3"/>
      <c r="H15" s="85" t="s">
        <v>32</v>
      </c>
      <c r="I15" s="85"/>
      <c r="J15" s="85"/>
      <c r="K15" s="85"/>
      <c r="L15" s="3"/>
      <c r="M15" s="85" t="s">
        <v>38</v>
      </c>
      <c r="N15" s="85"/>
      <c r="O15" s="85"/>
      <c r="P15" s="85"/>
      <c r="Q15" s="3"/>
      <c r="R15" s="3"/>
      <c r="S15" s="3"/>
      <c r="T15" s="3"/>
      <c r="U15" s="3"/>
      <c r="V15" s="3"/>
      <c r="W15" s="3"/>
      <c r="X15" s="3"/>
      <c r="Y15" s="3"/>
      <c r="Z15" s="5"/>
      <c r="AA15" s="5"/>
      <c r="AB15" s="5"/>
      <c r="AC15" s="48">
        <f>(1.1*C17+3.3*D17+10)+50</f>
        <v>160.10000000000002</v>
      </c>
      <c r="AD15" s="48">
        <f>(1.1*C17+3.3*D17+10)*1.2+50</f>
        <v>182.12</v>
      </c>
      <c r="AE15" s="48">
        <f>(1.1*C17+3.3*D17+10)*0.9+50</f>
        <v>149.09</v>
      </c>
    </row>
    <row r="16" spans="1:31" x14ac:dyDescent="0.2">
      <c r="A16" s="3"/>
      <c r="B16" s="2" t="s">
        <v>8</v>
      </c>
      <c r="C16" s="2">
        <v>100</v>
      </c>
      <c r="D16" s="2"/>
      <c r="E16" s="2" t="s">
        <v>15</v>
      </c>
      <c r="F16" s="2">
        <f>ROUND(IF(E16="加",AD19,IF(E16="减",AE19,(IF(E16="无",AC19,0)))),0)</f>
        <v>170</v>
      </c>
      <c r="G16" s="3"/>
      <c r="H16" s="2" t="s">
        <v>5</v>
      </c>
      <c r="I16" s="2" t="s">
        <v>6</v>
      </c>
      <c r="J16" s="2" t="s">
        <v>12</v>
      </c>
      <c r="K16" s="2" t="s">
        <v>13</v>
      </c>
      <c r="L16" s="3"/>
      <c r="M16" s="2" t="s">
        <v>5</v>
      </c>
      <c r="N16" s="2" t="s">
        <v>6</v>
      </c>
      <c r="O16" s="2" t="s">
        <v>12</v>
      </c>
      <c r="P16" s="2" t="s">
        <v>13</v>
      </c>
      <c r="Q16" s="3"/>
      <c r="R16" s="3"/>
      <c r="S16" s="3"/>
      <c r="T16" s="3"/>
      <c r="U16" s="3"/>
      <c r="V16" s="3"/>
      <c r="W16" s="3"/>
      <c r="X16" s="3"/>
      <c r="Y16" s="3"/>
      <c r="Z16" s="5"/>
      <c r="AA16" s="5"/>
      <c r="AB16" s="5"/>
      <c r="AC16" s="48">
        <f>(1.1*C18+3.3*D18+10)+50</f>
        <v>129.30000000000001</v>
      </c>
      <c r="AD16" s="48">
        <f>(1.1*C18+3.3*D18+10)*1.2+50</f>
        <v>145.16000000000003</v>
      </c>
      <c r="AE16" s="48">
        <f>(1.1*C18+3.3*D18+10)*0.9+50</f>
        <v>121.37000000000002</v>
      </c>
    </row>
    <row r="17" spans="1:31" x14ac:dyDescent="0.2">
      <c r="A17" s="3"/>
      <c r="B17" s="2" t="s">
        <v>9</v>
      </c>
      <c r="C17" s="7">
        <v>91</v>
      </c>
      <c r="D17" s="7"/>
      <c r="E17" s="2" t="s">
        <v>15</v>
      </c>
      <c r="F17" s="2">
        <f>ROUND(IF(E17="加",AD15,IF(E17="减",AE15,(IF(E17="无",AC15,0)))),0)</f>
        <v>160</v>
      </c>
      <c r="G17" s="3"/>
      <c r="H17" s="2">
        <f>AC14*AC15</f>
        <v>66681.650000000009</v>
      </c>
      <c r="I17" s="2">
        <f>AD14*AC15</f>
        <v>76815.98000000001</v>
      </c>
      <c r="J17" s="2">
        <f>AC14*AD15</f>
        <v>75852.98</v>
      </c>
      <c r="K17" s="2">
        <f>AC14*AC15</f>
        <v>66681.650000000009</v>
      </c>
      <c r="L17" s="3"/>
      <c r="M17" s="2">
        <f>AC4*AC5</f>
        <v>57800</v>
      </c>
      <c r="N17" s="2">
        <f>AD4*AC5</f>
        <v>65960</v>
      </c>
      <c r="O17" s="2">
        <f>AC4*AD5</f>
        <v>65960</v>
      </c>
      <c r="P17" s="2">
        <f>AC4*AC5</f>
        <v>57800</v>
      </c>
      <c r="Q17" s="3"/>
      <c r="R17" s="3"/>
      <c r="S17" s="3"/>
      <c r="T17" s="3"/>
      <c r="U17" s="3"/>
      <c r="V17" s="3"/>
      <c r="W17" s="3"/>
      <c r="X17" s="3"/>
      <c r="Y17" s="3"/>
      <c r="Z17" s="5"/>
      <c r="AA17" s="5"/>
      <c r="AB17" s="5"/>
      <c r="AC17" s="48"/>
      <c r="AD17" s="48"/>
      <c r="AE17" s="48"/>
    </row>
    <row r="18" spans="1:31" x14ac:dyDescent="0.2">
      <c r="A18" s="3"/>
      <c r="B18" s="2" t="s">
        <v>10</v>
      </c>
      <c r="C18" s="7">
        <v>63</v>
      </c>
      <c r="D18" s="7"/>
      <c r="E18" s="2" t="s">
        <v>15</v>
      </c>
      <c r="F18" s="2">
        <f>ROUND(IF(E18="加",AD16,IF(E18="减",AE16,(IF(E18="无",AC16,0)))),0)</f>
        <v>129</v>
      </c>
      <c r="G18" s="3"/>
      <c r="H18" s="2">
        <f>AC14*AC16</f>
        <v>53853.450000000004</v>
      </c>
      <c r="I18" s="2">
        <f>AD14*AC16</f>
        <v>62038.140000000007</v>
      </c>
      <c r="J18" s="2">
        <f>AC14*AC16</f>
        <v>53853.450000000004</v>
      </c>
      <c r="K18" s="2">
        <f>AC14*AD16</f>
        <v>60459.140000000014</v>
      </c>
      <c r="L18" s="3"/>
      <c r="M18" s="2">
        <f>AC4*AC6</f>
        <v>57800</v>
      </c>
      <c r="N18" s="2">
        <f>AD4*AC6</f>
        <v>65960</v>
      </c>
      <c r="O18" s="2">
        <f>AC4*AC6</f>
        <v>57800</v>
      </c>
      <c r="P18" s="2">
        <f>AC4*AD6</f>
        <v>65960</v>
      </c>
      <c r="Q18" s="3"/>
      <c r="R18" s="3"/>
      <c r="S18" s="3"/>
      <c r="T18" s="3"/>
      <c r="U18" s="3"/>
      <c r="V18" s="3"/>
      <c r="W18" s="3"/>
      <c r="X18" s="3"/>
      <c r="Y18" s="3"/>
      <c r="Z18" s="5"/>
      <c r="AA18" s="5"/>
      <c r="AB18" s="5"/>
      <c r="AC18" s="48">
        <f>(1.1*C15+3.3*D15+10)+50</f>
        <v>170</v>
      </c>
      <c r="AD18" s="48">
        <f>(1.1*C15+3.3*D15+10)*1.2+50</f>
        <v>194</v>
      </c>
      <c r="AE18" s="48">
        <f>(1.1*C15+3.3*D15+10)*0.9+50</f>
        <v>158</v>
      </c>
    </row>
    <row r="19" spans="1:31" x14ac:dyDescent="0.2">
      <c r="A19" s="3"/>
      <c r="B19" s="2" t="s">
        <v>11</v>
      </c>
      <c r="C19" s="2">
        <v>100</v>
      </c>
      <c r="D19" s="2"/>
      <c r="E19" s="2" t="s">
        <v>15</v>
      </c>
      <c r="F19" s="2">
        <f>ROUND(IF(E19="加",AD20,IF(E19="减",AE20,(IF(E19="无",AC20,0)))),0)</f>
        <v>170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5"/>
      <c r="AA19" s="5"/>
      <c r="AB19" s="5"/>
      <c r="AC19" s="48">
        <f>(1.1*C16+3.3*D16+10)+50</f>
        <v>170</v>
      </c>
      <c r="AD19" s="48">
        <f>(1.1*C16+3.3*D16+10)*1.2+50</f>
        <v>194</v>
      </c>
      <c r="AE19" s="48">
        <f>(1.1*C16+3.3*D16+10)*0.9+50</f>
        <v>158</v>
      </c>
    </row>
    <row r="20" spans="1:3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5"/>
      <c r="AA20" s="5"/>
      <c r="AB20" s="5"/>
      <c r="AC20" s="48">
        <f>(1.1*C19+3.3*D19+10)+50</f>
        <v>170</v>
      </c>
      <c r="AD20" s="48">
        <f>(1.1*C19+3.3*D19+10)*1.2+50</f>
        <v>194</v>
      </c>
      <c r="AE20" s="48">
        <f>(1.1*C19+3.3*D19+10)*0.9+50</f>
        <v>158</v>
      </c>
    </row>
    <row r="21" spans="1:3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5"/>
      <c r="AA21" s="5"/>
      <c r="AB21" s="5"/>
      <c r="AC21" s="49"/>
      <c r="AD21" s="49"/>
      <c r="AE21" s="49"/>
    </row>
    <row r="22" spans="1:3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5"/>
      <c r="AA22" s="5"/>
      <c r="AB22" s="5"/>
      <c r="AC22" s="50">
        <f>IF(M9="无",1,1.25)</f>
        <v>1.25</v>
      </c>
      <c r="AD22" s="50">
        <f>IF(N9="1倍",1,IF(N9="2倍",2,IF(N9="3倍",3,IF(N9="1/2倍",1/2,IF(N9="1/3倍",1/3,0)))))</f>
        <v>2</v>
      </c>
      <c r="AE22" s="49"/>
    </row>
    <row r="23" spans="1:3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9"/>
      <c r="AD23" s="49"/>
      <c r="AE23" s="49"/>
    </row>
    <row r="24" spans="1:31" x14ac:dyDescent="0.2">
      <c r="A24" s="3"/>
      <c r="B24" s="3"/>
      <c r="C24" s="3"/>
      <c r="D24" s="3"/>
      <c r="E24" s="3"/>
      <c r="F24" s="4"/>
      <c r="G24" s="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9"/>
      <c r="AD24" s="49"/>
      <c r="AE24" s="49"/>
    </row>
    <row r="25" spans="1:31" x14ac:dyDescent="0.2">
      <c r="A25" s="3"/>
      <c r="B25" s="3"/>
      <c r="C25" s="3"/>
      <c r="D25" s="3"/>
      <c r="E25" s="3"/>
      <c r="F25" s="4"/>
      <c r="G25" s="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7"/>
      <c r="AD25" s="47"/>
      <c r="AE25" s="47"/>
    </row>
    <row r="26" spans="1:3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7"/>
      <c r="AD26" s="47"/>
      <c r="AE26" s="47"/>
    </row>
    <row r="27" spans="1:3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7"/>
      <c r="AD27" s="47"/>
      <c r="AE27" s="47"/>
    </row>
    <row r="28" spans="1:3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3"/>
      <c r="AD28" s="43"/>
      <c r="AE28" s="43"/>
    </row>
    <row r="29" spans="1:3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3"/>
      <c r="AD29" s="43"/>
      <c r="AE29" s="43"/>
    </row>
    <row r="30" spans="1:3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3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3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</sheetData>
  <mergeCells count="11">
    <mergeCell ref="H15:K15"/>
    <mergeCell ref="AC1:AE1"/>
    <mergeCell ref="W3:X3"/>
    <mergeCell ref="S2:Y2"/>
    <mergeCell ref="I8:K8"/>
    <mergeCell ref="I9:K9"/>
    <mergeCell ref="M2:P2"/>
    <mergeCell ref="B2:K2"/>
    <mergeCell ref="M15:P15"/>
    <mergeCell ref="B12:F12"/>
    <mergeCell ref="M7:Q7"/>
  </mergeCells>
  <phoneticPr fontId="1" type="noConversion"/>
  <dataValidations count="4">
    <dataValidation type="list" allowBlank="1" showInputMessage="1" showErrorMessage="1" sqref="E14:E19 E11 E4:E9" xr:uid="{00000000-0002-0000-0000-000000000000}">
      <formula1>"加,减, 无"</formula1>
    </dataValidation>
    <dataValidation type="list" allowBlank="1" showInputMessage="1" showErrorMessage="1" sqref="I4:I7" xr:uid="{00000000-0002-0000-0000-000001000000}">
      <formula1>"物攻,魔攻"</formula1>
    </dataValidation>
    <dataValidation type="list" allowBlank="1" showInputMessage="1" showErrorMessage="1" sqref="M9" xr:uid="{00000000-0002-0000-0000-000002000000}">
      <formula1>"有,无"</formula1>
    </dataValidation>
    <dataValidation type="list" allowBlank="1" showInputMessage="1" showErrorMessage="1" sqref="N9" xr:uid="{00000000-0002-0000-0000-000003000000}">
      <formula1>"1倍,2倍,3倍,1/2倍,1/3倍"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57BEE-27BE-4E4F-8856-51BFA114D08C}">
  <dimension ref="A1:K77"/>
  <sheetViews>
    <sheetView topLeftCell="A43" zoomScale="115" zoomScaleNormal="115" workbookViewId="0">
      <selection activeCell="G23" sqref="G23"/>
    </sheetView>
  </sheetViews>
  <sheetFormatPr defaultColWidth="8.875" defaultRowHeight="14.25" x14ac:dyDescent="0.2"/>
  <cols>
    <col min="1" max="1" width="8.875" style="58"/>
    <col min="2" max="2" width="8.875" style="59"/>
    <col min="3" max="3" width="8.875" style="63"/>
    <col min="4" max="4" width="80" style="61" customWidth="1"/>
    <col min="5" max="5" width="18.875" style="62" customWidth="1"/>
    <col min="6" max="16384" width="8.875" style="56"/>
  </cols>
  <sheetData>
    <row r="1" spans="1:11" x14ac:dyDescent="0.2">
      <c r="A1" s="54" t="s">
        <v>53</v>
      </c>
      <c r="B1" s="54" t="s">
        <v>54</v>
      </c>
      <c r="C1" s="54" t="s">
        <v>14</v>
      </c>
      <c r="D1" s="54" t="s">
        <v>55</v>
      </c>
      <c r="E1" s="55" t="s">
        <v>16</v>
      </c>
      <c r="H1" s="57"/>
    </row>
    <row r="2" spans="1:11" x14ac:dyDescent="0.2">
      <c r="A2" s="1">
        <v>115</v>
      </c>
      <c r="B2" s="59" t="s">
        <v>64</v>
      </c>
      <c r="C2" s="60">
        <v>303</v>
      </c>
      <c r="D2" s="80" t="s">
        <v>155</v>
      </c>
      <c r="E2"/>
      <c r="H2" s="57"/>
      <c r="J2" s="81"/>
      <c r="K2" s="55"/>
    </row>
    <row r="3" spans="1:11" x14ac:dyDescent="0.2">
      <c r="A3" s="58">
        <v>145</v>
      </c>
      <c r="B3" s="59" t="s">
        <v>57</v>
      </c>
      <c r="C3" s="60">
        <f>ROUND(E3,0)</f>
        <v>293</v>
      </c>
      <c r="D3" s="61" t="s">
        <v>102</v>
      </c>
      <c r="E3" s="62">
        <f>(1.1*A3+43)*1.2+50</f>
        <v>293</v>
      </c>
    </row>
    <row r="4" spans="1:11" x14ac:dyDescent="0.2">
      <c r="A4" s="58">
        <v>105</v>
      </c>
      <c r="B4" s="59" t="s">
        <v>69</v>
      </c>
      <c r="C4" s="60">
        <v>290</v>
      </c>
      <c r="D4" s="78" t="s">
        <v>147</v>
      </c>
    </row>
    <row r="5" spans="1:11" x14ac:dyDescent="0.2">
      <c r="A5" s="58">
        <v>100</v>
      </c>
      <c r="B5" s="59" t="s">
        <v>71</v>
      </c>
      <c r="C5" s="60">
        <v>284</v>
      </c>
      <c r="D5" s="78" t="s">
        <v>153</v>
      </c>
    </row>
    <row r="6" spans="1:11" x14ac:dyDescent="0.2">
      <c r="A6" s="58">
        <v>135</v>
      </c>
      <c r="B6" s="59" t="s">
        <v>59</v>
      </c>
      <c r="C6" s="60">
        <f>ROUND(E6,0)</f>
        <v>280</v>
      </c>
      <c r="D6" s="64" t="s">
        <v>98</v>
      </c>
      <c r="E6" s="62">
        <f>(1.1*A6+43)*1.2+50</f>
        <v>279.79999999999995</v>
      </c>
    </row>
    <row r="7" spans="1:11" x14ac:dyDescent="0.2">
      <c r="A7" s="58">
        <v>44</v>
      </c>
      <c r="B7" s="59" t="s">
        <v>119</v>
      </c>
      <c r="C7" s="60">
        <v>280</v>
      </c>
      <c r="D7" s="79" t="s">
        <v>144</v>
      </c>
    </row>
    <row r="8" spans="1:11" x14ac:dyDescent="0.2">
      <c r="A8" s="58">
        <v>130</v>
      </c>
      <c r="B8" s="59" t="s">
        <v>60</v>
      </c>
      <c r="C8" s="60">
        <f>ROUND(E8,0)</f>
        <v>273</v>
      </c>
      <c r="D8" s="61" t="s">
        <v>125</v>
      </c>
      <c r="E8" s="62">
        <f>(1.1*A8+43)*1.2+50</f>
        <v>273.2</v>
      </c>
    </row>
    <row r="9" spans="1:11" x14ac:dyDescent="0.2">
      <c r="A9" s="58">
        <v>92</v>
      </c>
      <c r="B9" s="59" t="s">
        <v>107</v>
      </c>
      <c r="C9" s="60">
        <v>268</v>
      </c>
      <c r="D9" s="78" t="s">
        <v>143</v>
      </c>
    </row>
    <row r="10" spans="1:11" ht="13.9" customHeight="1" x14ac:dyDescent="0.2">
      <c r="A10" s="58">
        <v>125</v>
      </c>
      <c r="B10" s="59" t="s">
        <v>61</v>
      </c>
      <c r="C10" s="60">
        <f>ROUND(E10,0)</f>
        <v>267</v>
      </c>
      <c r="D10" s="61" t="s">
        <v>126</v>
      </c>
      <c r="E10" s="62">
        <f>(1.1*A10+43)*1.2+50</f>
        <v>266.60000000000002</v>
      </c>
    </row>
    <row r="11" spans="1:11" ht="13.9" customHeight="1" x14ac:dyDescent="0.2">
      <c r="A11" s="58">
        <v>120</v>
      </c>
      <c r="B11" s="59" t="s">
        <v>62</v>
      </c>
      <c r="C11" s="60">
        <f>ROUND(E11,0)</f>
        <v>260</v>
      </c>
      <c r="D11" s="61" t="s">
        <v>127</v>
      </c>
      <c r="E11" s="62">
        <f>(1.1*A11+43)*1.2+50</f>
        <v>260</v>
      </c>
    </row>
    <row r="12" spans="1:11" ht="13.9" customHeight="1" x14ac:dyDescent="0.2">
      <c r="A12" s="58">
        <v>44</v>
      </c>
      <c r="B12" s="59" t="s">
        <v>119</v>
      </c>
      <c r="C12" s="60">
        <v>256</v>
      </c>
      <c r="D12" s="79" t="s">
        <v>145</v>
      </c>
      <c r="E12" s="62">
        <f>(1.1*A12+43)*1.2+50</f>
        <v>159.68</v>
      </c>
    </row>
    <row r="13" spans="1:11" ht="13.9" customHeight="1" x14ac:dyDescent="0.2">
      <c r="A13" s="58">
        <v>145</v>
      </c>
      <c r="B13" s="59" t="s">
        <v>65</v>
      </c>
      <c r="C13" s="60">
        <f t="shared" ref="C13:C20" si="0">ROUND(E13,0)</f>
        <v>253</v>
      </c>
      <c r="D13" s="61" t="s">
        <v>102</v>
      </c>
      <c r="E13" s="62">
        <f>1.1*A13+93</f>
        <v>252.5</v>
      </c>
    </row>
    <row r="14" spans="1:11" x14ac:dyDescent="0.2">
      <c r="A14" s="58">
        <v>115</v>
      </c>
      <c r="B14" s="59" t="s">
        <v>64</v>
      </c>
      <c r="C14" s="60">
        <f t="shared" si="0"/>
        <v>253</v>
      </c>
      <c r="D14" s="61" t="s">
        <v>129</v>
      </c>
      <c r="E14" s="62">
        <f>(1.1*A14+43)*1.2+50</f>
        <v>253.4</v>
      </c>
    </row>
    <row r="15" spans="1:11" x14ac:dyDescent="0.2">
      <c r="A15" s="58">
        <v>110</v>
      </c>
      <c r="B15" s="59" t="s">
        <v>67</v>
      </c>
      <c r="C15" s="60">
        <f t="shared" si="0"/>
        <v>247</v>
      </c>
      <c r="D15" s="61" t="s">
        <v>130</v>
      </c>
      <c r="E15" s="62">
        <f>(1.1*A15+43)*1.2+50</f>
        <v>246.79999999999998</v>
      </c>
    </row>
    <row r="16" spans="1:11" x14ac:dyDescent="0.2">
      <c r="A16" s="58">
        <v>70</v>
      </c>
      <c r="B16" s="59" t="s">
        <v>150</v>
      </c>
      <c r="C16" s="60">
        <v>244</v>
      </c>
      <c r="D16" s="78" t="s">
        <v>151</v>
      </c>
      <c r="E16" s="62">
        <f>(1.1*A16+43)*1.2+50</f>
        <v>194</v>
      </c>
    </row>
    <row r="17" spans="1:5" x14ac:dyDescent="0.2">
      <c r="A17" s="58">
        <v>135</v>
      </c>
      <c r="B17" s="59" t="s">
        <v>68</v>
      </c>
      <c r="C17" s="60">
        <f t="shared" si="0"/>
        <v>242</v>
      </c>
      <c r="D17" s="64" t="s">
        <v>98</v>
      </c>
      <c r="E17" s="62">
        <f>1.1*A17+93</f>
        <v>241.5</v>
      </c>
    </row>
    <row r="18" spans="1:5" x14ac:dyDescent="0.2">
      <c r="A18" s="58">
        <v>105</v>
      </c>
      <c r="B18" s="59" t="s">
        <v>69</v>
      </c>
      <c r="C18" s="60">
        <f t="shared" si="0"/>
        <v>240</v>
      </c>
      <c r="D18" s="61" t="s">
        <v>131</v>
      </c>
      <c r="E18" s="62">
        <f>(1.1*A18+43)*1.2+50</f>
        <v>240.2</v>
      </c>
    </row>
    <row r="19" spans="1:5" x14ac:dyDescent="0.2">
      <c r="A19" s="58">
        <v>130</v>
      </c>
      <c r="B19" s="59" t="s">
        <v>70</v>
      </c>
      <c r="C19" s="60">
        <f t="shared" si="0"/>
        <v>236</v>
      </c>
      <c r="D19" s="61" t="s">
        <v>125</v>
      </c>
      <c r="E19" s="62">
        <f>1.1*A19+93</f>
        <v>236</v>
      </c>
    </row>
    <row r="20" spans="1:5" x14ac:dyDescent="0.2">
      <c r="A20" s="58">
        <v>100</v>
      </c>
      <c r="B20" s="59" t="s">
        <v>71</v>
      </c>
      <c r="C20" s="60">
        <f t="shared" si="0"/>
        <v>234</v>
      </c>
      <c r="D20" s="61" t="s">
        <v>132</v>
      </c>
      <c r="E20" s="62">
        <f>(1.1*A20+43)*1.2+50</f>
        <v>233.6</v>
      </c>
    </row>
    <row r="21" spans="1:5" x14ac:dyDescent="0.2">
      <c r="A21" s="58">
        <v>44</v>
      </c>
      <c r="B21" s="59" t="s">
        <v>119</v>
      </c>
      <c r="C21" s="60">
        <v>232</v>
      </c>
      <c r="D21" s="79" t="s">
        <v>146</v>
      </c>
    </row>
    <row r="22" spans="1:5" x14ac:dyDescent="0.2">
      <c r="A22" s="58">
        <v>125</v>
      </c>
      <c r="B22" s="59" t="s">
        <v>72</v>
      </c>
      <c r="C22" s="60">
        <f t="shared" ref="C22:C54" si="1">ROUND(E22,0)</f>
        <v>231</v>
      </c>
      <c r="D22" s="61" t="s">
        <v>126</v>
      </c>
      <c r="E22" s="62">
        <f>1.1*A22+93</f>
        <v>230.5</v>
      </c>
    </row>
    <row r="23" spans="1:5" x14ac:dyDescent="0.2">
      <c r="A23" s="58">
        <v>95</v>
      </c>
      <c r="B23" s="59" t="s">
        <v>73</v>
      </c>
      <c r="C23" s="60">
        <f t="shared" si="1"/>
        <v>227</v>
      </c>
      <c r="D23" s="61" t="s">
        <v>133</v>
      </c>
      <c r="E23" s="62">
        <f>(1.1*A23+43)*1.2+50</f>
        <v>227</v>
      </c>
    </row>
    <row r="24" spans="1:5" x14ac:dyDescent="0.2">
      <c r="A24" s="58">
        <v>120</v>
      </c>
      <c r="B24" s="59" t="s">
        <v>74</v>
      </c>
      <c r="C24" s="60">
        <f t="shared" si="1"/>
        <v>225</v>
      </c>
      <c r="D24" s="61" t="s">
        <v>127</v>
      </c>
      <c r="E24" s="62">
        <f>1.1*A24+93</f>
        <v>225</v>
      </c>
    </row>
    <row r="25" spans="1:5" x14ac:dyDescent="0.2">
      <c r="A25" s="58">
        <v>92</v>
      </c>
      <c r="B25" s="59" t="s">
        <v>107</v>
      </c>
      <c r="C25" s="60">
        <f t="shared" si="1"/>
        <v>223</v>
      </c>
      <c r="D25" s="61" t="s">
        <v>109</v>
      </c>
      <c r="E25" s="62">
        <f>(1.1*A25+43)*1.2+50</f>
        <v>223.04</v>
      </c>
    </row>
    <row r="26" spans="1:5" x14ac:dyDescent="0.2">
      <c r="A26" s="58">
        <v>145</v>
      </c>
      <c r="B26" s="59">
        <v>145</v>
      </c>
      <c r="C26" s="60">
        <f t="shared" si="1"/>
        <v>220</v>
      </c>
      <c r="D26" s="61" t="s">
        <v>102</v>
      </c>
      <c r="E26" s="62">
        <f>1.1*B26+60</f>
        <v>219.5</v>
      </c>
    </row>
    <row r="27" spans="1:5" x14ac:dyDescent="0.2">
      <c r="A27" s="58">
        <v>70</v>
      </c>
      <c r="B27" s="59" t="s">
        <v>152</v>
      </c>
      <c r="C27" s="60">
        <v>220</v>
      </c>
      <c r="D27" s="78" t="s">
        <v>151</v>
      </c>
    </row>
    <row r="28" spans="1:5" x14ac:dyDescent="0.2">
      <c r="A28" s="58">
        <v>115</v>
      </c>
      <c r="B28" s="59" t="s">
        <v>76</v>
      </c>
      <c r="C28" s="60">
        <f t="shared" si="1"/>
        <v>220</v>
      </c>
      <c r="D28" s="61" t="s">
        <v>129</v>
      </c>
      <c r="E28" s="62">
        <f>1.1*A28+93</f>
        <v>219.5</v>
      </c>
    </row>
    <row r="29" spans="1:5" x14ac:dyDescent="0.2">
      <c r="A29" s="58">
        <v>90</v>
      </c>
      <c r="B29" s="59" t="s">
        <v>75</v>
      </c>
      <c r="C29" s="60">
        <f t="shared" si="1"/>
        <v>220</v>
      </c>
      <c r="D29" s="61" t="s">
        <v>134</v>
      </c>
      <c r="E29" s="62">
        <f>(1.1*A29+43)*1.2+50</f>
        <v>220.4</v>
      </c>
    </row>
    <row r="30" spans="1:5" x14ac:dyDescent="0.2">
      <c r="A30" s="58">
        <v>110</v>
      </c>
      <c r="B30" s="59" t="s">
        <v>77</v>
      </c>
      <c r="C30" s="60">
        <f t="shared" si="1"/>
        <v>214</v>
      </c>
      <c r="D30" s="61" t="s">
        <v>130</v>
      </c>
      <c r="E30" s="62">
        <f>1.1*A30+93</f>
        <v>214</v>
      </c>
    </row>
    <row r="31" spans="1:5" x14ac:dyDescent="0.2">
      <c r="A31" s="58">
        <v>85</v>
      </c>
      <c r="B31" s="59" t="s">
        <v>78</v>
      </c>
      <c r="C31" s="60">
        <f t="shared" si="1"/>
        <v>214</v>
      </c>
      <c r="D31" s="61" t="s">
        <v>135</v>
      </c>
      <c r="E31" s="62">
        <f>(1.1*A31+43)*1.2+50</f>
        <v>213.79999999999998</v>
      </c>
    </row>
    <row r="32" spans="1:5" x14ac:dyDescent="0.2">
      <c r="A32" s="58">
        <v>135</v>
      </c>
      <c r="B32" s="59">
        <v>135</v>
      </c>
      <c r="C32" s="60">
        <f t="shared" si="1"/>
        <v>209</v>
      </c>
      <c r="D32" s="64" t="s">
        <v>98</v>
      </c>
      <c r="E32" s="62">
        <f>1.1*B32+60</f>
        <v>208.5</v>
      </c>
    </row>
    <row r="33" spans="1:5" x14ac:dyDescent="0.2">
      <c r="A33" s="58">
        <v>105</v>
      </c>
      <c r="B33" s="59" t="s">
        <v>79</v>
      </c>
      <c r="C33" s="60">
        <f t="shared" si="1"/>
        <v>209</v>
      </c>
      <c r="D33" s="61" t="s">
        <v>131</v>
      </c>
      <c r="E33" s="62">
        <f>1.1*A33+93</f>
        <v>208.5</v>
      </c>
    </row>
    <row r="34" spans="1:5" x14ac:dyDescent="0.2">
      <c r="A34" s="58">
        <v>80</v>
      </c>
      <c r="B34" s="59" t="s">
        <v>80</v>
      </c>
      <c r="C34" s="60">
        <f t="shared" si="1"/>
        <v>207</v>
      </c>
      <c r="D34" s="61" t="s">
        <v>136</v>
      </c>
      <c r="E34" s="62">
        <f>(1.1*A34+43)*1.2+50</f>
        <v>207.2</v>
      </c>
    </row>
    <row r="35" spans="1:5" x14ac:dyDescent="0.2">
      <c r="A35" s="58">
        <v>130</v>
      </c>
      <c r="B35" s="59">
        <v>130</v>
      </c>
      <c r="C35" s="60">
        <f t="shared" si="1"/>
        <v>203</v>
      </c>
      <c r="D35" s="61" t="s">
        <v>125</v>
      </c>
      <c r="E35" s="62">
        <f>1.1*B35+60</f>
        <v>203</v>
      </c>
    </row>
    <row r="36" spans="1:5" x14ac:dyDescent="0.2">
      <c r="A36" s="58">
        <v>100</v>
      </c>
      <c r="B36" s="59" t="s">
        <v>81</v>
      </c>
      <c r="C36" s="60">
        <f t="shared" si="1"/>
        <v>203</v>
      </c>
      <c r="D36" s="61" t="s">
        <v>132</v>
      </c>
      <c r="E36" s="62">
        <f>1.1*A36+93</f>
        <v>203</v>
      </c>
    </row>
    <row r="37" spans="1:5" x14ac:dyDescent="0.2">
      <c r="A37" s="58">
        <v>75</v>
      </c>
      <c r="B37" s="59" t="s">
        <v>82</v>
      </c>
      <c r="C37" s="60">
        <f t="shared" si="1"/>
        <v>201</v>
      </c>
      <c r="D37" s="61" t="s">
        <v>142</v>
      </c>
      <c r="E37" s="62">
        <f>(1.1*A37+43)*1.2+50</f>
        <v>200.6</v>
      </c>
    </row>
    <row r="38" spans="1:5" x14ac:dyDescent="0.2">
      <c r="A38" s="58">
        <v>125</v>
      </c>
      <c r="B38" s="59">
        <v>125</v>
      </c>
      <c r="C38" s="60">
        <f t="shared" si="1"/>
        <v>198</v>
      </c>
      <c r="D38" s="61" t="s">
        <v>126</v>
      </c>
      <c r="E38" s="62">
        <f>1.1*B38+60</f>
        <v>197.5</v>
      </c>
    </row>
    <row r="39" spans="1:5" x14ac:dyDescent="0.2">
      <c r="A39" s="58">
        <v>95</v>
      </c>
      <c r="B39" s="59" t="s">
        <v>83</v>
      </c>
      <c r="C39" s="60">
        <f t="shared" si="1"/>
        <v>198</v>
      </c>
      <c r="D39" s="61" t="s">
        <v>133</v>
      </c>
      <c r="E39" s="62">
        <f>1.1*A39+93</f>
        <v>197.5</v>
      </c>
    </row>
    <row r="40" spans="1:5" x14ac:dyDescent="0.2">
      <c r="A40" s="58">
        <v>92</v>
      </c>
      <c r="B40" s="59" t="s">
        <v>108</v>
      </c>
      <c r="C40" s="60">
        <f t="shared" si="1"/>
        <v>194</v>
      </c>
      <c r="D40" s="61" t="s">
        <v>109</v>
      </c>
      <c r="E40" s="62">
        <f>1.1*A40+93</f>
        <v>194.2</v>
      </c>
    </row>
    <row r="41" spans="1:5" x14ac:dyDescent="0.2">
      <c r="A41" s="58">
        <v>70</v>
      </c>
      <c r="B41" s="59" t="s">
        <v>84</v>
      </c>
      <c r="C41" s="60">
        <f t="shared" si="1"/>
        <v>194</v>
      </c>
      <c r="D41" s="61" t="s">
        <v>140</v>
      </c>
      <c r="E41" s="62">
        <f>(1.1*A41+43)*1.2+50</f>
        <v>194</v>
      </c>
    </row>
    <row r="42" spans="1:5" x14ac:dyDescent="0.2">
      <c r="A42" s="58">
        <v>120</v>
      </c>
      <c r="B42" s="59">
        <v>120</v>
      </c>
      <c r="C42" s="60">
        <f t="shared" si="1"/>
        <v>192</v>
      </c>
      <c r="D42" s="61" t="s">
        <v>127</v>
      </c>
      <c r="E42" s="62">
        <f>1.1*B42+60</f>
        <v>192</v>
      </c>
    </row>
    <row r="43" spans="1:5" x14ac:dyDescent="0.2">
      <c r="A43" s="58">
        <v>90</v>
      </c>
      <c r="B43" s="59" t="s">
        <v>85</v>
      </c>
      <c r="C43" s="60">
        <f t="shared" si="1"/>
        <v>192</v>
      </c>
      <c r="D43" s="61" t="s">
        <v>134</v>
      </c>
      <c r="E43" s="62">
        <f>1.1*A43+93</f>
        <v>192</v>
      </c>
    </row>
    <row r="44" spans="1:5" x14ac:dyDescent="0.2">
      <c r="A44" s="58">
        <v>115</v>
      </c>
      <c r="B44" s="59">
        <v>115</v>
      </c>
      <c r="C44" s="60">
        <f t="shared" si="1"/>
        <v>187</v>
      </c>
      <c r="D44" s="61" t="s">
        <v>129</v>
      </c>
      <c r="E44" s="62">
        <f>1.1*B44+60</f>
        <v>186.5</v>
      </c>
    </row>
    <row r="45" spans="1:5" x14ac:dyDescent="0.2">
      <c r="A45" s="58">
        <v>85</v>
      </c>
      <c r="B45" s="59" t="s">
        <v>87</v>
      </c>
      <c r="C45" s="60">
        <f t="shared" si="1"/>
        <v>187</v>
      </c>
      <c r="D45" s="61" t="s">
        <v>135</v>
      </c>
      <c r="E45" s="62">
        <f>1.1*A45+93</f>
        <v>186.5</v>
      </c>
    </row>
    <row r="46" spans="1:5" x14ac:dyDescent="0.2">
      <c r="A46" s="58">
        <v>65</v>
      </c>
      <c r="B46" s="59" t="s">
        <v>86</v>
      </c>
      <c r="C46" s="60">
        <f t="shared" si="1"/>
        <v>187</v>
      </c>
      <c r="D46" s="61" t="s">
        <v>141</v>
      </c>
      <c r="E46" s="62">
        <f>(1.1*A46+43)*1.2+50</f>
        <v>187.4</v>
      </c>
    </row>
    <row r="47" spans="1:5" x14ac:dyDescent="0.2">
      <c r="A47" s="58">
        <v>110</v>
      </c>
      <c r="B47" s="59">
        <v>110</v>
      </c>
      <c r="C47" s="60">
        <f t="shared" si="1"/>
        <v>181</v>
      </c>
      <c r="D47" s="61" t="s">
        <v>130</v>
      </c>
      <c r="E47" s="62">
        <f>1.1*B47+60</f>
        <v>181</v>
      </c>
    </row>
    <row r="48" spans="1:5" x14ac:dyDescent="0.2">
      <c r="A48" s="58">
        <v>80</v>
      </c>
      <c r="B48" s="59" t="s">
        <v>88</v>
      </c>
      <c r="C48" s="60">
        <f t="shared" si="1"/>
        <v>181</v>
      </c>
      <c r="D48" s="61" t="s">
        <v>136</v>
      </c>
      <c r="E48" s="62">
        <f>1.1*A48+93</f>
        <v>181</v>
      </c>
    </row>
    <row r="49" spans="1:5" x14ac:dyDescent="0.2">
      <c r="A49" s="58">
        <v>60</v>
      </c>
      <c r="B49" s="59" t="s">
        <v>89</v>
      </c>
      <c r="C49" s="60">
        <f t="shared" si="1"/>
        <v>181</v>
      </c>
      <c r="D49" s="61" t="s">
        <v>139</v>
      </c>
      <c r="E49" s="62">
        <f>(1.1*A49+43)*1.2+50</f>
        <v>180.79999999999998</v>
      </c>
    </row>
    <row r="50" spans="1:5" x14ac:dyDescent="0.2">
      <c r="A50" s="58">
        <v>105</v>
      </c>
      <c r="B50" s="59">
        <v>105</v>
      </c>
      <c r="C50" s="60">
        <f t="shared" si="1"/>
        <v>176</v>
      </c>
      <c r="D50" s="61" t="s">
        <v>131</v>
      </c>
      <c r="E50" s="62">
        <f>1.1*B50+60</f>
        <v>175.5</v>
      </c>
    </row>
    <row r="51" spans="1:5" x14ac:dyDescent="0.2">
      <c r="A51" s="58">
        <v>75</v>
      </c>
      <c r="B51" s="59" t="s">
        <v>90</v>
      </c>
      <c r="C51" s="60">
        <f t="shared" si="1"/>
        <v>176</v>
      </c>
      <c r="D51" s="61" t="s">
        <v>142</v>
      </c>
      <c r="E51" s="62">
        <f>1.1*A51+93</f>
        <v>175.5</v>
      </c>
    </row>
    <row r="52" spans="1:5" x14ac:dyDescent="0.2">
      <c r="A52" s="58">
        <v>55</v>
      </c>
      <c r="B52" s="59" t="s">
        <v>91</v>
      </c>
      <c r="C52" s="60">
        <f t="shared" si="1"/>
        <v>174</v>
      </c>
      <c r="D52" s="61" t="s">
        <v>138</v>
      </c>
      <c r="E52" s="62">
        <f>(1.1*A52+43)*1.2+50</f>
        <v>174.2</v>
      </c>
    </row>
    <row r="53" spans="1:5" x14ac:dyDescent="0.2">
      <c r="A53" s="58">
        <v>100</v>
      </c>
      <c r="B53" s="59">
        <v>100</v>
      </c>
      <c r="C53" s="60">
        <f t="shared" si="1"/>
        <v>170</v>
      </c>
      <c r="D53" s="61" t="s">
        <v>132</v>
      </c>
      <c r="E53" s="62">
        <f>1.1*B53+60</f>
        <v>170</v>
      </c>
    </row>
    <row r="54" spans="1:5" x14ac:dyDescent="0.2">
      <c r="A54" s="58">
        <v>70</v>
      </c>
      <c r="B54" s="59" t="s">
        <v>92</v>
      </c>
      <c r="C54" s="60">
        <f t="shared" si="1"/>
        <v>170</v>
      </c>
      <c r="D54" s="61" t="s">
        <v>140</v>
      </c>
      <c r="E54" s="62">
        <f>1.1*A54+93</f>
        <v>170</v>
      </c>
    </row>
    <row r="55" spans="1:5" x14ac:dyDescent="0.2">
      <c r="A55" s="58">
        <v>50</v>
      </c>
      <c r="B55" s="59" t="s">
        <v>93</v>
      </c>
      <c r="C55" s="60">
        <f t="shared" ref="C55:C76" si="2">ROUND(E55,0)</f>
        <v>168</v>
      </c>
      <c r="D55" s="61" t="s">
        <v>137</v>
      </c>
      <c r="E55" s="62">
        <f>(1.1*A55+43)*1.2+50</f>
        <v>167.6</v>
      </c>
    </row>
    <row r="56" spans="1:5" x14ac:dyDescent="0.2">
      <c r="A56" s="58">
        <v>95</v>
      </c>
      <c r="B56" s="59">
        <v>95</v>
      </c>
      <c r="C56" s="60">
        <f t="shared" si="2"/>
        <v>165</v>
      </c>
      <c r="D56" s="61" t="s">
        <v>133</v>
      </c>
      <c r="E56" s="62">
        <f>1.1*B56+60</f>
        <v>164.5</v>
      </c>
    </row>
    <row r="57" spans="1:5" x14ac:dyDescent="0.2">
      <c r="A57" s="58">
        <v>65</v>
      </c>
      <c r="B57" s="59" t="s">
        <v>94</v>
      </c>
      <c r="C57" s="60">
        <f t="shared" si="2"/>
        <v>165</v>
      </c>
      <c r="D57" s="61" t="s">
        <v>141</v>
      </c>
      <c r="E57" s="62">
        <f>1.1*A57+93</f>
        <v>164.5</v>
      </c>
    </row>
    <row r="58" spans="1:5" x14ac:dyDescent="0.2">
      <c r="A58" s="58">
        <v>92</v>
      </c>
      <c r="B58" s="59">
        <v>92</v>
      </c>
      <c r="C58" s="60">
        <f t="shared" si="2"/>
        <v>161</v>
      </c>
      <c r="D58" s="61" t="s">
        <v>109</v>
      </c>
      <c r="E58" s="62">
        <f>1.1*B58+60</f>
        <v>161.19999999999999</v>
      </c>
    </row>
    <row r="59" spans="1:5" x14ac:dyDescent="0.2">
      <c r="A59" s="58">
        <v>44</v>
      </c>
      <c r="B59" s="59" t="s">
        <v>119</v>
      </c>
      <c r="C59" s="60">
        <f t="shared" si="2"/>
        <v>160</v>
      </c>
      <c r="D59" s="61" t="s">
        <v>124</v>
      </c>
      <c r="E59" s="62">
        <f>(1.1*A59+43)*1.2+50</f>
        <v>159.68</v>
      </c>
    </row>
    <row r="60" spans="1:5" x14ac:dyDescent="0.2">
      <c r="A60" s="58">
        <v>90</v>
      </c>
      <c r="B60" s="59">
        <v>90</v>
      </c>
      <c r="C60" s="60">
        <f t="shared" si="2"/>
        <v>159</v>
      </c>
      <c r="D60" s="61" t="s">
        <v>134</v>
      </c>
      <c r="E60" s="62">
        <f>1.1*B60+60</f>
        <v>159</v>
      </c>
    </row>
    <row r="61" spans="1:5" x14ac:dyDescent="0.2">
      <c r="A61" s="58">
        <v>60</v>
      </c>
      <c r="B61" s="59" t="s">
        <v>95</v>
      </c>
      <c r="C61" s="60">
        <f t="shared" si="2"/>
        <v>159</v>
      </c>
      <c r="D61" s="61" t="s">
        <v>139</v>
      </c>
      <c r="E61" s="62">
        <f>1.1*A61+93</f>
        <v>159</v>
      </c>
    </row>
    <row r="62" spans="1:5" x14ac:dyDescent="0.2">
      <c r="A62" s="58">
        <v>85</v>
      </c>
      <c r="B62" s="59">
        <v>85</v>
      </c>
      <c r="C62" s="60">
        <f t="shared" si="2"/>
        <v>154</v>
      </c>
      <c r="D62" s="61" t="s">
        <v>135</v>
      </c>
      <c r="E62" s="62">
        <f>1.1*B62+60</f>
        <v>153.5</v>
      </c>
    </row>
    <row r="63" spans="1:5" x14ac:dyDescent="0.2">
      <c r="A63" s="58">
        <v>55</v>
      </c>
      <c r="B63" s="59" t="s">
        <v>96</v>
      </c>
      <c r="C63" s="60">
        <f t="shared" si="2"/>
        <v>154</v>
      </c>
      <c r="D63" s="61" t="s">
        <v>138</v>
      </c>
      <c r="E63" s="62">
        <f>1.1*A63+93</f>
        <v>153.5</v>
      </c>
    </row>
    <row r="64" spans="1:5" x14ac:dyDescent="0.2">
      <c r="A64" s="58">
        <v>40</v>
      </c>
      <c r="B64" s="59" t="s">
        <v>121</v>
      </c>
      <c r="C64" s="60">
        <f t="shared" si="2"/>
        <v>154</v>
      </c>
      <c r="D64" s="61" t="s">
        <v>123</v>
      </c>
      <c r="E64" s="62">
        <f>(1.1*A64+43)*1.2+50</f>
        <v>154.39999999999998</v>
      </c>
    </row>
    <row r="65" spans="1:5" x14ac:dyDescent="0.2">
      <c r="A65" s="58">
        <v>80</v>
      </c>
      <c r="B65" s="59">
        <v>80</v>
      </c>
      <c r="C65" s="60">
        <f t="shared" si="2"/>
        <v>148</v>
      </c>
      <c r="D65" s="61" t="s">
        <v>136</v>
      </c>
      <c r="E65" s="62">
        <f>1.1*B65+60</f>
        <v>148</v>
      </c>
    </row>
    <row r="66" spans="1:5" x14ac:dyDescent="0.2">
      <c r="A66" s="58">
        <v>50</v>
      </c>
      <c r="B66" s="59" t="s">
        <v>97</v>
      </c>
      <c r="C66" s="60">
        <f t="shared" si="2"/>
        <v>148</v>
      </c>
      <c r="D66" s="61" t="s">
        <v>137</v>
      </c>
      <c r="E66" s="62">
        <f>1.1*A66+93</f>
        <v>148</v>
      </c>
    </row>
    <row r="67" spans="1:5" x14ac:dyDescent="0.2">
      <c r="A67" s="58">
        <v>75</v>
      </c>
      <c r="B67" s="59">
        <v>75</v>
      </c>
      <c r="C67" s="60">
        <f t="shared" si="2"/>
        <v>143</v>
      </c>
      <c r="D67" s="61" t="s">
        <v>142</v>
      </c>
      <c r="E67" s="62">
        <f>1.1*B67+60</f>
        <v>142.5</v>
      </c>
    </row>
    <row r="68" spans="1:5" x14ac:dyDescent="0.2">
      <c r="A68" s="58">
        <v>44</v>
      </c>
      <c r="B68" s="59" t="s">
        <v>120</v>
      </c>
      <c r="C68" s="60">
        <f t="shared" si="2"/>
        <v>141</v>
      </c>
      <c r="D68" s="61" t="s">
        <v>124</v>
      </c>
      <c r="E68" s="62">
        <f>1.1*A68+93</f>
        <v>141.4</v>
      </c>
    </row>
    <row r="69" spans="1:5" x14ac:dyDescent="0.2">
      <c r="A69" s="58">
        <v>70</v>
      </c>
      <c r="B69" s="59">
        <v>70</v>
      </c>
      <c r="C69" s="60">
        <f t="shared" si="2"/>
        <v>137</v>
      </c>
      <c r="D69" s="61" t="s">
        <v>140</v>
      </c>
      <c r="E69" s="62">
        <f>1.1*B69+60</f>
        <v>137</v>
      </c>
    </row>
    <row r="70" spans="1:5" x14ac:dyDescent="0.2">
      <c r="A70" s="58">
        <v>40</v>
      </c>
      <c r="B70" s="59" t="s">
        <v>122</v>
      </c>
      <c r="C70" s="60">
        <f t="shared" si="2"/>
        <v>137</v>
      </c>
      <c r="D70" s="61" t="s">
        <v>123</v>
      </c>
      <c r="E70" s="62">
        <f>1.1*A70+93</f>
        <v>137</v>
      </c>
    </row>
    <row r="71" spans="1:5" x14ac:dyDescent="0.2">
      <c r="A71" s="58">
        <v>65</v>
      </c>
      <c r="B71" s="59">
        <v>65</v>
      </c>
      <c r="C71" s="60">
        <f t="shared" si="2"/>
        <v>132</v>
      </c>
      <c r="D71" s="61" t="s">
        <v>141</v>
      </c>
      <c r="E71" s="62">
        <f t="shared" ref="E71:E76" si="3">1.1*B71+60</f>
        <v>131.5</v>
      </c>
    </row>
    <row r="72" spans="1:5" x14ac:dyDescent="0.2">
      <c r="A72" s="58">
        <v>60</v>
      </c>
      <c r="B72" s="59">
        <v>60</v>
      </c>
      <c r="C72" s="60">
        <f t="shared" si="2"/>
        <v>126</v>
      </c>
      <c r="D72" s="61" t="s">
        <v>139</v>
      </c>
      <c r="E72" s="62">
        <f t="shared" si="3"/>
        <v>126</v>
      </c>
    </row>
    <row r="73" spans="1:5" x14ac:dyDescent="0.2">
      <c r="A73" s="58">
        <v>55</v>
      </c>
      <c r="B73" s="59">
        <v>55</v>
      </c>
      <c r="C73" s="60">
        <f t="shared" si="2"/>
        <v>121</v>
      </c>
      <c r="D73" s="61" t="s">
        <v>138</v>
      </c>
      <c r="E73" s="62">
        <f t="shared" si="3"/>
        <v>120.5</v>
      </c>
    </row>
    <row r="74" spans="1:5" x14ac:dyDescent="0.2">
      <c r="A74" s="58">
        <v>50</v>
      </c>
      <c r="B74" s="59">
        <v>50</v>
      </c>
      <c r="C74" s="60">
        <f t="shared" si="2"/>
        <v>115</v>
      </c>
      <c r="D74" s="61" t="s">
        <v>137</v>
      </c>
      <c r="E74" s="62">
        <f t="shared" si="3"/>
        <v>115</v>
      </c>
    </row>
    <row r="75" spans="1:5" x14ac:dyDescent="0.2">
      <c r="A75" s="58">
        <v>44</v>
      </c>
      <c r="B75" s="59">
        <v>44</v>
      </c>
      <c r="C75" s="60">
        <f t="shared" si="2"/>
        <v>108</v>
      </c>
      <c r="D75" s="61" t="s">
        <v>124</v>
      </c>
      <c r="E75" s="62">
        <f t="shared" si="3"/>
        <v>108.4</v>
      </c>
    </row>
    <row r="76" spans="1:5" x14ac:dyDescent="0.2">
      <c r="A76" s="58">
        <v>40</v>
      </c>
      <c r="B76" s="59">
        <v>40</v>
      </c>
      <c r="C76" s="60">
        <f t="shared" si="2"/>
        <v>104</v>
      </c>
      <c r="D76" s="61" t="s">
        <v>123</v>
      </c>
      <c r="E76" s="62">
        <f t="shared" si="3"/>
        <v>104</v>
      </c>
    </row>
    <row r="77" spans="1:5" x14ac:dyDescent="0.2">
      <c r="A77" s="82" t="s">
        <v>154</v>
      </c>
      <c r="B77" s="83"/>
      <c r="C77" s="83"/>
      <c r="D77" s="84"/>
    </row>
  </sheetData>
  <sortState xmlns:xlrd2="http://schemas.microsoft.com/office/spreadsheetml/2017/richdata2" ref="A3:E77">
    <sortCondition descending="1" ref="C3:C77"/>
  </sortState>
  <mergeCells count="1">
    <mergeCell ref="A77:D77"/>
  </mergeCells>
  <phoneticPr fontId="1" type="noConversion"/>
  <pageMargins left="0.7" right="0.7" top="0.75" bottom="0.75" header="0.3" footer="0.3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8248-9907-45BA-B113-B932F7510F33}">
  <dimension ref="A1:H73"/>
  <sheetViews>
    <sheetView zoomScaleNormal="100" workbookViewId="0">
      <selection activeCell="B66" sqref="B51:B66"/>
    </sheetView>
  </sheetViews>
  <sheetFormatPr defaultColWidth="8.875" defaultRowHeight="12.75" x14ac:dyDescent="0.2"/>
  <cols>
    <col min="1" max="1" width="8.875" style="69"/>
    <col min="2" max="2" width="8.875" style="70"/>
    <col min="3" max="3" width="8.875" style="74"/>
    <col min="4" max="4" width="169.5" style="72" customWidth="1"/>
    <col min="5" max="5" width="17.75" style="73" customWidth="1"/>
    <col min="6" max="16384" width="8.875" style="67"/>
  </cols>
  <sheetData>
    <row r="1" spans="1:8" x14ac:dyDescent="0.2">
      <c r="A1" s="65" t="s">
        <v>53</v>
      </c>
      <c r="B1" s="65" t="s">
        <v>54</v>
      </c>
      <c r="C1" s="65" t="s">
        <v>14</v>
      </c>
      <c r="D1" s="65" t="s">
        <v>55</v>
      </c>
      <c r="E1" s="66" t="s">
        <v>16</v>
      </c>
      <c r="H1" s="68"/>
    </row>
    <row r="2" spans="1:8" x14ac:dyDescent="0.2">
      <c r="A2" s="69">
        <v>150</v>
      </c>
      <c r="B2" s="70" t="s">
        <v>56</v>
      </c>
      <c r="C2" s="71">
        <f t="shared" ref="C2:C33" si="0">ROUND(E2,0)</f>
        <v>300</v>
      </c>
      <c r="E2" s="73">
        <f t="shared" ref="E2:E8" si="1">(1.1*A2+43)*1.2+50</f>
        <v>299.60000000000002</v>
      </c>
    </row>
    <row r="3" spans="1:8" x14ac:dyDescent="0.2">
      <c r="A3" s="69">
        <v>145</v>
      </c>
      <c r="B3" s="70" t="s">
        <v>57</v>
      </c>
      <c r="C3" s="71">
        <f t="shared" si="0"/>
        <v>293</v>
      </c>
      <c r="D3" s="72" t="s">
        <v>102</v>
      </c>
      <c r="E3" s="73">
        <f t="shared" si="1"/>
        <v>293</v>
      </c>
    </row>
    <row r="4" spans="1:8" x14ac:dyDescent="0.2">
      <c r="A4" s="69">
        <v>140</v>
      </c>
      <c r="B4" s="70" t="s">
        <v>58</v>
      </c>
      <c r="C4" s="71">
        <f t="shared" si="0"/>
        <v>286</v>
      </c>
      <c r="E4" s="73">
        <f t="shared" si="1"/>
        <v>286.39999999999998</v>
      </c>
    </row>
    <row r="5" spans="1:8" x14ac:dyDescent="0.2">
      <c r="A5" s="69">
        <v>135</v>
      </c>
      <c r="B5" s="70" t="s">
        <v>59</v>
      </c>
      <c r="C5" s="71">
        <f t="shared" si="0"/>
        <v>280</v>
      </c>
      <c r="D5" s="53" t="s">
        <v>98</v>
      </c>
      <c r="E5" s="73">
        <f t="shared" si="1"/>
        <v>279.79999999999995</v>
      </c>
    </row>
    <row r="6" spans="1:8" x14ac:dyDescent="0.2">
      <c r="A6" s="69">
        <v>130</v>
      </c>
      <c r="B6" s="70" t="s">
        <v>60</v>
      </c>
      <c r="C6" s="71">
        <f t="shared" si="0"/>
        <v>273</v>
      </c>
      <c r="D6" s="72" t="s">
        <v>99</v>
      </c>
      <c r="E6" s="73">
        <f t="shared" si="1"/>
        <v>273.2</v>
      </c>
    </row>
    <row r="7" spans="1:8" x14ac:dyDescent="0.2">
      <c r="A7" s="69">
        <v>125</v>
      </c>
      <c r="B7" s="70" t="s">
        <v>61</v>
      </c>
      <c r="C7" s="71">
        <f t="shared" si="0"/>
        <v>267</v>
      </c>
      <c r="D7" s="72" t="s">
        <v>100</v>
      </c>
      <c r="E7" s="73">
        <f t="shared" si="1"/>
        <v>266.60000000000002</v>
      </c>
    </row>
    <row r="8" spans="1:8" x14ac:dyDescent="0.2">
      <c r="A8" s="69">
        <v>120</v>
      </c>
      <c r="B8" s="70" t="s">
        <v>62</v>
      </c>
      <c r="C8" s="71">
        <f t="shared" si="0"/>
        <v>260</v>
      </c>
      <c r="D8" s="72" t="s">
        <v>101</v>
      </c>
      <c r="E8" s="73">
        <f t="shared" si="1"/>
        <v>260</v>
      </c>
    </row>
    <row r="9" spans="1:8" x14ac:dyDescent="0.2">
      <c r="A9" s="69">
        <v>150</v>
      </c>
      <c r="B9" s="70" t="s">
        <v>63</v>
      </c>
      <c r="C9" s="71">
        <f t="shared" si="0"/>
        <v>258</v>
      </c>
      <c r="E9" s="73">
        <f>1.1*A9+93</f>
        <v>258</v>
      </c>
    </row>
    <row r="10" spans="1:8" x14ac:dyDescent="0.2">
      <c r="A10" s="69">
        <v>145</v>
      </c>
      <c r="B10" s="70" t="s">
        <v>65</v>
      </c>
      <c r="C10" s="71">
        <f t="shared" si="0"/>
        <v>253</v>
      </c>
      <c r="D10" s="72" t="s">
        <v>102</v>
      </c>
      <c r="E10" s="73">
        <f>1.1*A10+93</f>
        <v>252.5</v>
      </c>
    </row>
    <row r="11" spans="1:8" ht="13.9" customHeight="1" x14ac:dyDescent="0.2">
      <c r="A11" s="69">
        <v>115</v>
      </c>
      <c r="B11" s="70" t="s">
        <v>64</v>
      </c>
      <c r="C11" s="71">
        <f t="shared" si="0"/>
        <v>253</v>
      </c>
      <c r="D11" s="72" t="s">
        <v>128</v>
      </c>
      <c r="E11" s="73">
        <f>(1.1*A11+43)*1.2+50</f>
        <v>253.4</v>
      </c>
    </row>
    <row r="12" spans="1:8" ht="13.9" customHeight="1" x14ac:dyDescent="0.2">
      <c r="A12" s="69">
        <v>140</v>
      </c>
      <c r="B12" s="70" t="s">
        <v>66</v>
      </c>
      <c r="C12" s="71">
        <f t="shared" si="0"/>
        <v>247</v>
      </c>
      <c r="E12" s="73">
        <f>1.1*A12+93</f>
        <v>247</v>
      </c>
    </row>
    <row r="13" spans="1:8" ht="13.9" customHeight="1" x14ac:dyDescent="0.2">
      <c r="A13" s="69">
        <v>110</v>
      </c>
      <c r="B13" s="70" t="s">
        <v>67</v>
      </c>
      <c r="C13" s="71">
        <f t="shared" si="0"/>
        <v>247</v>
      </c>
      <c r="D13" s="72" t="s">
        <v>103</v>
      </c>
      <c r="E13" s="73">
        <f>(1.1*A13+43)*1.2+50</f>
        <v>246.79999999999998</v>
      </c>
    </row>
    <row r="14" spans="1:8" x14ac:dyDescent="0.2">
      <c r="A14" s="69">
        <v>135</v>
      </c>
      <c r="B14" s="70" t="s">
        <v>68</v>
      </c>
      <c r="C14" s="71">
        <f t="shared" si="0"/>
        <v>242</v>
      </c>
      <c r="D14" s="53" t="s">
        <v>98</v>
      </c>
      <c r="E14" s="73">
        <f>1.1*A14+93</f>
        <v>241.5</v>
      </c>
    </row>
    <row r="15" spans="1:8" x14ac:dyDescent="0.2">
      <c r="A15" s="69">
        <v>105</v>
      </c>
      <c r="B15" s="70" t="s">
        <v>69</v>
      </c>
      <c r="C15" s="71">
        <f t="shared" si="0"/>
        <v>240</v>
      </c>
      <c r="D15" s="72" t="s">
        <v>104</v>
      </c>
      <c r="E15" s="73">
        <f>(1.1*A15+43)*1.2+50</f>
        <v>240.2</v>
      </c>
    </row>
    <row r="16" spans="1:8" x14ac:dyDescent="0.2">
      <c r="A16" s="69">
        <v>130</v>
      </c>
      <c r="B16" s="70" t="s">
        <v>70</v>
      </c>
      <c r="C16" s="71">
        <f t="shared" si="0"/>
        <v>236</v>
      </c>
      <c r="D16" s="72" t="s">
        <v>99</v>
      </c>
      <c r="E16" s="73">
        <f>1.1*A16+93</f>
        <v>236</v>
      </c>
    </row>
    <row r="17" spans="1:5" x14ac:dyDescent="0.2">
      <c r="A17" s="69">
        <v>100</v>
      </c>
      <c r="B17" s="70" t="s">
        <v>71</v>
      </c>
      <c r="C17" s="71">
        <f t="shared" si="0"/>
        <v>234</v>
      </c>
      <c r="D17" s="72" t="s">
        <v>105</v>
      </c>
      <c r="E17" s="73">
        <f>(1.1*A17+43)*1.2+50</f>
        <v>233.6</v>
      </c>
    </row>
    <row r="18" spans="1:5" x14ac:dyDescent="0.2">
      <c r="A18" s="69">
        <v>125</v>
      </c>
      <c r="B18" s="70" t="s">
        <v>72</v>
      </c>
      <c r="C18" s="71">
        <f t="shared" si="0"/>
        <v>231</v>
      </c>
      <c r="D18" s="72" t="s">
        <v>100</v>
      </c>
      <c r="E18" s="73">
        <f>1.1*A18+93</f>
        <v>230.5</v>
      </c>
    </row>
    <row r="19" spans="1:5" x14ac:dyDescent="0.2">
      <c r="A19" s="69">
        <v>95</v>
      </c>
      <c r="B19" s="70" t="s">
        <v>73</v>
      </c>
      <c r="C19" s="71">
        <f t="shared" si="0"/>
        <v>227</v>
      </c>
      <c r="D19" s="72" t="s">
        <v>106</v>
      </c>
      <c r="E19" s="73">
        <f>(1.1*A19+43)*1.2+50</f>
        <v>227</v>
      </c>
    </row>
    <row r="20" spans="1:5" x14ac:dyDescent="0.2">
      <c r="A20" s="69">
        <v>150</v>
      </c>
      <c r="B20" s="70">
        <v>150</v>
      </c>
      <c r="C20" s="71">
        <f t="shared" si="0"/>
        <v>225</v>
      </c>
      <c r="E20" s="73">
        <f>1.1*B20+60</f>
        <v>225</v>
      </c>
    </row>
    <row r="21" spans="1:5" x14ac:dyDescent="0.2">
      <c r="A21" s="69">
        <v>120</v>
      </c>
      <c r="B21" s="70" t="s">
        <v>74</v>
      </c>
      <c r="C21" s="71">
        <f t="shared" si="0"/>
        <v>225</v>
      </c>
      <c r="D21" s="72" t="s">
        <v>101</v>
      </c>
      <c r="E21" s="73">
        <f>1.1*A21+93</f>
        <v>225</v>
      </c>
    </row>
    <row r="22" spans="1:5" x14ac:dyDescent="0.2">
      <c r="A22" s="69">
        <v>92</v>
      </c>
      <c r="B22" s="70" t="s">
        <v>107</v>
      </c>
      <c r="C22" s="71">
        <f t="shared" si="0"/>
        <v>223</v>
      </c>
      <c r="D22" s="72" t="s">
        <v>109</v>
      </c>
      <c r="E22" s="73">
        <f>(1.1*A22+43)*1.2+50</f>
        <v>223.04</v>
      </c>
    </row>
    <row r="23" spans="1:5" x14ac:dyDescent="0.2">
      <c r="A23" s="69">
        <v>145</v>
      </c>
      <c r="B23" s="70">
        <v>145</v>
      </c>
      <c r="C23" s="71">
        <f t="shared" si="0"/>
        <v>220</v>
      </c>
      <c r="D23" s="72" t="s">
        <v>102</v>
      </c>
      <c r="E23" s="73">
        <f>1.1*B23+60</f>
        <v>219.5</v>
      </c>
    </row>
    <row r="24" spans="1:5" x14ac:dyDescent="0.2">
      <c r="A24" s="69">
        <v>115</v>
      </c>
      <c r="B24" s="70" t="s">
        <v>76</v>
      </c>
      <c r="C24" s="71">
        <f t="shared" si="0"/>
        <v>220</v>
      </c>
      <c r="D24" s="72" t="s">
        <v>128</v>
      </c>
      <c r="E24" s="73">
        <f>1.1*A24+93</f>
        <v>219.5</v>
      </c>
    </row>
    <row r="25" spans="1:5" x14ac:dyDescent="0.2">
      <c r="A25" s="69">
        <v>90</v>
      </c>
      <c r="B25" s="70" t="s">
        <v>75</v>
      </c>
      <c r="C25" s="71">
        <f t="shared" si="0"/>
        <v>220</v>
      </c>
      <c r="D25" s="72" t="s">
        <v>110</v>
      </c>
      <c r="E25" s="73">
        <f>(1.1*A25+43)*1.2+50</f>
        <v>220.4</v>
      </c>
    </row>
    <row r="26" spans="1:5" x14ac:dyDescent="0.2">
      <c r="A26" s="69">
        <v>140</v>
      </c>
      <c r="B26" s="70">
        <v>140</v>
      </c>
      <c r="C26" s="71">
        <f t="shared" si="0"/>
        <v>214</v>
      </c>
      <c r="E26" s="73">
        <f>1.1*B26+60</f>
        <v>214</v>
      </c>
    </row>
    <row r="27" spans="1:5" x14ac:dyDescent="0.2">
      <c r="A27" s="69">
        <v>110</v>
      </c>
      <c r="B27" s="70" t="s">
        <v>77</v>
      </c>
      <c r="C27" s="71">
        <f t="shared" si="0"/>
        <v>214</v>
      </c>
      <c r="D27" s="72" t="s">
        <v>103</v>
      </c>
      <c r="E27" s="73">
        <f>1.1*A27+93</f>
        <v>214</v>
      </c>
    </row>
    <row r="28" spans="1:5" x14ac:dyDescent="0.2">
      <c r="A28" s="69">
        <v>85</v>
      </c>
      <c r="B28" s="70" t="s">
        <v>78</v>
      </c>
      <c r="C28" s="71">
        <f t="shared" si="0"/>
        <v>214</v>
      </c>
      <c r="D28" s="72" t="s">
        <v>111</v>
      </c>
      <c r="E28" s="73">
        <f>(1.1*A28+43)*1.2+50</f>
        <v>213.79999999999998</v>
      </c>
    </row>
    <row r="29" spans="1:5" x14ac:dyDescent="0.2">
      <c r="A29" s="69">
        <v>135</v>
      </c>
      <c r="B29" s="70">
        <v>135</v>
      </c>
      <c r="C29" s="71">
        <f t="shared" si="0"/>
        <v>209</v>
      </c>
      <c r="D29" s="75" t="s">
        <v>98</v>
      </c>
      <c r="E29" s="73">
        <f>1.1*B29+60</f>
        <v>208.5</v>
      </c>
    </row>
    <row r="30" spans="1:5" x14ac:dyDescent="0.2">
      <c r="A30" s="69">
        <v>105</v>
      </c>
      <c r="B30" s="70" t="s">
        <v>79</v>
      </c>
      <c r="C30" s="71">
        <f t="shared" si="0"/>
        <v>209</v>
      </c>
      <c r="D30" s="72" t="s">
        <v>104</v>
      </c>
      <c r="E30" s="73">
        <f>1.1*A30+93</f>
        <v>208.5</v>
      </c>
    </row>
    <row r="31" spans="1:5" x14ac:dyDescent="0.2">
      <c r="A31" s="69">
        <v>80</v>
      </c>
      <c r="B31" s="70" t="s">
        <v>80</v>
      </c>
      <c r="C31" s="71">
        <f t="shared" si="0"/>
        <v>207</v>
      </c>
      <c r="D31" s="72" t="s">
        <v>112</v>
      </c>
      <c r="E31" s="73">
        <f>(1.1*A31+43)*1.2+50</f>
        <v>207.2</v>
      </c>
    </row>
    <row r="32" spans="1:5" x14ac:dyDescent="0.2">
      <c r="A32" s="69">
        <v>130</v>
      </c>
      <c r="B32" s="70">
        <v>130</v>
      </c>
      <c r="C32" s="71">
        <f t="shared" si="0"/>
        <v>203</v>
      </c>
      <c r="D32" s="72" t="s">
        <v>99</v>
      </c>
      <c r="E32" s="73">
        <f>1.1*B32+60</f>
        <v>203</v>
      </c>
    </row>
    <row r="33" spans="1:5" x14ac:dyDescent="0.2">
      <c r="A33" s="69">
        <v>100</v>
      </c>
      <c r="B33" s="70" t="s">
        <v>81</v>
      </c>
      <c r="C33" s="71">
        <f t="shared" si="0"/>
        <v>203</v>
      </c>
      <c r="D33" s="72" t="s">
        <v>105</v>
      </c>
      <c r="E33" s="73">
        <f>1.1*A33+93</f>
        <v>203</v>
      </c>
    </row>
    <row r="34" spans="1:5" x14ac:dyDescent="0.2">
      <c r="A34" s="69">
        <v>75</v>
      </c>
      <c r="B34" s="70" t="s">
        <v>82</v>
      </c>
      <c r="C34" s="71">
        <f t="shared" ref="C34:C65" si="2">ROUND(E34,0)</f>
        <v>201</v>
      </c>
      <c r="D34" s="72" t="s">
        <v>113</v>
      </c>
      <c r="E34" s="73">
        <f>(1.1*A34+43)*1.2+50</f>
        <v>200.6</v>
      </c>
    </row>
    <row r="35" spans="1:5" x14ac:dyDescent="0.2">
      <c r="A35" s="69">
        <v>125</v>
      </c>
      <c r="B35" s="70">
        <v>125</v>
      </c>
      <c r="C35" s="71">
        <f t="shared" si="2"/>
        <v>198</v>
      </c>
      <c r="D35" s="72" t="s">
        <v>100</v>
      </c>
      <c r="E35" s="73">
        <f>1.1*B35+60</f>
        <v>197.5</v>
      </c>
    </row>
    <row r="36" spans="1:5" x14ac:dyDescent="0.2">
      <c r="A36" s="69">
        <v>95</v>
      </c>
      <c r="B36" s="70" t="s">
        <v>83</v>
      </c>
      <c r="C36" s="71">
        <f t="shared" si="2"/>
        <v>198</v>
      </c>
      <c r="D36" s="72" t="s">
        <v>106</v>
      </c>
      <c r="E36" s="73">
        <f>1.1*A36+93</f>
        <v>197.5</v>
      </c>
    </row>
    <row r="37" spans="1:5" x14ac:dyDescent="0.2">
      <c r="A37" s="69">
        <v>92</v>
      </c>
      <c r="B37" s="70" t="s">
        <v>108</v>
      </c>
      <c r="C37" s="71">
        <f t="shared" si="2"/>
        <v>194</v>
      </c>
      <c r="D37" s="72" t="s">
        <v>109</v>
      </c>
      <c r="E37" s="73">
        <f>1.1*A37+93</f>
        <v>194.2</v>
      </c>
    </row>
    <row r="38" spans="1:5" x14ac:dyDescent="0.2">
      <c r="A38" s="69">
        <v>70</v>
      </c>
      <c r="B38" s="70" t="s">
        <v>84</v>
      </c>
      <c r="C38" s="71">
        <f t="shared" si="2"/>
        <v>194</v>
      </c>
      <c r="D38" s="72" t="s">
        <v>114</v>
      </c>
      <c r="E38" s="73">
        <f>(1.1*A38+43)*1.2+50</f>
        <v>194</v>
      </c>
    </row>
    <row r="39" spans="1:5" x14ac:dyDescent="0.2">
      <c r="A39" s="69">
        <v>120</v>
      </c>
      <c r="B39" s="70">
        <v>120</v>
      </c>
      <c r="C39" s="71">
        <f t="shared" si="2"/>
        <v>192</v>
      </c>
      <c r="D39" s="72" t="s">
        <v>101</v>
      </c>
      <c r="E39" s="73">
        <f>1.1*B39+60</f>
        <v>192</v>
      </c>
    </row>
    <row r="40" spans="1:5" x14ac:dyDescent="0.2">
      <c r="A40" s="69">
        <v>90</v>
      </c>
      <c r="B40" s="70" t="s">
        <v>85</v>
      </c>
      <c r="C40" s="71">
        <f t="shared" si="2"/>
        <v>192</v>
      </c>
      <c r="D40" s="72" t="s">
        <v>110</v>
      </c>
      <c r="E40" s="73">
        <f>1.1*A40+93</f>
        <v>192</v>
      </c>
    </row>
    <row r="41" spans="1:5" x14ac:dyDescent="0.2">
      <c r="A41" s="69">
        <v>115</v>
      </c>
      <c r="B41" s="70">
        <v>115</v>
      </c>
      <c r="C41" s="71">
        <f t="shared" si="2"/>
        <v>187</v>
      </c>
      <c r="D41" s="72" t="s">
        <v>128</v>
      </c>
      <c r="E41" s="73">
        <f>1.1*B41+60</f>
        <v>186.5</v>
      </c>
    </row>
    <row r="42" spans="1:5" x14ac:dyDescent="0.2">
      <c r="A42" s="69">
        <v>85</v>
      </c>
      <c r="B42" s="70" t="s">
        <v>87</v>
      </c>
      <c r="C42" s="71">
        <f t="shared" si="2"/>
        <v>187</v>
      </c>
      <c r="D42" s="72" t="s">
        <v>111</v>
      </c>
      <c r="E42" s="73">
        <f>1.1*A42+93</f>
        <v>186.5</v>
      </c>
    </row>
    <row r="43" spans="1:5" x14ac:dyDescent="0.2">
      <c r="A43" s="69">
        <v>65</v>
      </c>
      <c r="B43" s="70" t="s">
        <v>86</v>
      </c>
      <c r="C43" s="71">
        <f t="shared" si="2"/>
        <v>187</v>
      </c>
      <c r="D43" s="72" t="s">
        <v>115</v>
      </c>
      <c r="E43" s="73">
        <f>(1.1*A43+43)*1.2+50</f>
        <v>187.4</v>
      </c>
    </row>
    <row r="44" spans="1:5" x14ac:dyDescent="0.2">
      <c r="A44" s="69">
        <v>110</v>
      </c>
      <c r="B44" s="70">
        <v>110</v>
      </c>
      <c r="C44" s="71">
        <f t="shared" si="2"/>
        <v>181</v>
      </c>
      <c r="D44" s="72" t="s">
        <v>103</v>
      </c>
      <c r="E44" s="73">
        <f>1.1*B44+60</f>
        <v>181</v>
      </c>
    </row>
    <row r="45" spans="1:5" x14ac:dyDescent="0.2">
      <c r="A45" s="69">
        <v>80</v>
      </c>
      <c r="B45" s="70" t="s">
        <v>88</v>
      </c>
      <c r="C45" s="71">
        <f t="shared" si="2"/>
        <v>181</v>
      </c>
      <c r="D45" s="72" t="s">
        <v>112</v>
      </c>
      <c r="E45" s="73">
        <f>1.1*A45+93</f>
        <v>181</v>
      </c>
    </row>
    <row r="46" spans="1:5" x14ac:dyDescent="0.2">
      <c r="A46" s="69">
        <v>60</v>
      </c>
      <c r="B46" s="70" t="s">
        <v>89</v>
      </c>
      <c r="C46" s="71">
        <f t="shared" si="2"/>
        <v>181</v>
      </c>
      <c r="D46" s="72" t="s">
        <v>116</v>
      </c>
      <c r="E46" s="73">
        <f>(1.1*A46+43)*1.2+50</f>
        <v>180.79999999999998</v>
      </c>
    </row>
    <row r="47" spans="1:5" x14ac:dyDescent="0.2">
      <c r="A47" s="69">
        <v>105</v>
      </c>
      <c r="B47" s="70">
        <v>105</v>
      </c>
      <c r="C47" s="71">
        <f t="shared" si="2"/>
        <v>176</v>
      </c>
      <c r="D47" s="72" t="s">
        <v>104</v>
      </c>
      <c r="E47" s="73">
        <f>1.1*B47+60</f>
        <v>175.5</v>
      </c>
    </row>
    <row r="48" spans="1:5" x14ac:dyDescent="0.2">
      <c r="A48" s="69">
        <v>75</v>
      </c>
      <c r="B48" s="70" t="s">
        <v>90</v>
      </c>
      <c r="C48" s="71">
        <f t="shared" si="2"/>
        <v>176</v>
      </c>
      <c r="D48" s="72" t="s">
        <v>113</v>
      </c>
      <c r="E48" s="73">
        <f>1.1*A48+93</f>
        <v>175.5</v>
      </c>
    </row>
    <row r="49" spans="1:5" x14ac:dyDescent="0.2">
      <c r="A49" s="69">
        <v>55</v>
      </c>
      <c r="B49" s="70" t="s">
        <v>91</v>
      </c>
      <c r="C49" s="71">
        <f t="shared" si="2"/>
        <v>174</v>
      </c>
      <c r="D49" s="72" t="s">
        <v>117</v>
      </c>
      <c r="E49" s="73">
        <f>(1.1*A49+43)*1.2+50</f>
        <v>174.2</v>
      </c>
    </row>
    <row r="50" spans="1:5" x14ac:dyDescent="0.2">
      <c r="A50" s="69">
        <v>100</v>
      </c>
      <c r="B50" s="70">
        <v>100</v>
      </c>
      <c r="C50" s="71">
        <f t="shared" si="2"/>
        <v>170</v>
      </c>
      <c r="D50" s="72" t="s">
        <v>105</v>
      </c>
      <c r="E50" s="73">
        <f>1.1*B50+60</f>
        <v>170</v>
      </c>
    </row>
    <row r="51" spans="1:5" x14ac:dyDescent="0.2">
      <c r="A51" s="69">
        <v>70</v>
      </c>
      <c r="B51" s="70" t="s">
        <v>92</v>
      </c>
      <c r="C51" s="71">
        <f t="shared" si="2"/>
        <v>170</v>
      </c>
      <c r="D51" s="72" t="s">
        <v>114</v>
      </c>
      <c r="E51" s="73">
        <f>1.1*A51+93</f>
        <v>170</v>
      </c>
    </row>
    <row r="52" spans="1:5" x14ac:dyDescent="0.2">
      <c r="A52" s="69">
        <v>50</v>
      </c>
      <c r="B52" s="70" t="s">
        <v>93</v>
      </c>
      <c r="C52" s="71">
        <f t="shared" si="2"/>
        <v>168</v>
      </c>
      <c r="D52" s="72" t="s">
        <v>118</v>
      </c>
      <c r="E52" s="73">
        <f>(1.1*A52+43)*1.2+50</f>
        <v>167.6</v>
      </c>
    </row>
    <row r="53" spans="1:5" x14ac:dyDescent="0.2">
      <c r="A53" s="69">
        <v>95</v>
      </c>
      <c r="B53" s="70">
        <v>95</v>
      </c>
      <c r="C53" s="71">
        <f t="shared" si="2"/>
        <v>165</v>
      </c>
      <c r="D53" s="72" t="s">
        <v>106</v>
      </c>
      <c r="E53" s="73">
        <f>1.1*B53+60</f>
        <v>164.5</v>
      </c>
    </row>
    <row r="54" spans="1:5" x14ac:dyDescent="0.2">
      <c r="A54" s="69">
        <v>65</v>
      </c>
      <c r="B54" s="70" t="s">
        <v>94</v>
      </c>
      <c r="C54" s="71">
        <f t="shared" si="2"/>
        <v>165</v>
      </c>
      <c r="D54" s="72" t="s">
        <v>115</v>
      </c>
      <c r="E54" s="73">
        <f>1.1*A54+93</f>
        <v>164.5</v>
      </c>
    </row>
    <row r="55" spans="1:5" x14ac:dyDescent="0.2">
      <c r="A55" s="69">
        <v>92</v>
      </c>
      <c r="B55" s="70">
        <v>92</v>
      </c>
      <c r="C55" s="71">
        <f t="shared" si="2"/>
        <v>161</v>
      </c>
      <c r="D55" s="72" t="s">
        <v>109</v>
      </c>
      <c r="E55" s="73">
        <f>1.1*B55+60</f>
        <v>161.19999999999999</v>
      </c>
    </row>
    <row r="56" spans="1:5" x14ac:dyDescent="0.2">
      <c r="A56" s="69">
        <v>44</v>
      </c>
      <c r="B56" s="70" t="s">
        <v>119</v>
      </c>
      <c r="C56" s="71">
        <f t="shared" si="2"/>
        <v>160</v>
      </c>
      <c r="D56" s="72" t="s">
        <v>124</v>
      </c>
      <c r="E56" s="73">
        <f>(1.1*A56+43)*1.2+50</f>
        <v>159.68</v>
      </c>
    </row>
    <row r="57" spans="1:5" x14ac:dyDescent="0.2">
      <c r="A57" s="69">
        <v>90</v>
      </c>
      <c r="B57" s="70">
        <v>90</v>
      </c>
      <c r="C57" s="71">
        <f t="shared" si="2"/>
        <v>159</v>
      </c>
      <c r="D57" s="72" t="s">
        <v>110</v>
      </c>
      <c r="E57" s="73">
        <f>1.1*B57+60</f>
        <v>159</v>
      </c>
    </row>
    <row r="58" spans="1:5" x14ac:dyDescent="0.2">
      <c r="A58" s="69">
        <v>60</v>
      </c>
      <c r="B58" s="70" t="s">
        <v>95</v>
      </c>
      <c r="C58" s="71">
        <f t="shared" si="2"/>
        <v>159</v>
      </c>
      <c r="D58" s="72" t="s">
        <v>116</v>
      </c>
      <c r="E58" s="73">
        <f>1.1*A58+93</f>
        <v>159</v>
      </c>
    </row>
    <row r="59" spans="1:5" x14ac:dyDescent="0.2">
      <c r="A59" s="69">
        <v>85</v>
      </c>
      <c r="B59" s="70">
        <v>85</v>
      </c>
      <c r="C59" s="71">
        <f t="shared" si="2"/>
        <v>154</v>
      </c>
      <c r="D59" s="72" t="s">
        <v>111</v>
      </c>
      <c r="E59" s="73">
        <f>1.1*B59+60</f>
        <v>153.5</v>
      </c>
    </row>
    <row r="60" spans="1:5" x14ac:dyDescent="0.2">
      <c r="A60" s="69">
        <v>55</v>
      </c>
      <c r="B60" s="70" t="s">
        <v>96</v>
      </c>
      <c r="C60" s="71">
        <f t="shared" si="2"/>
        <v>154</v>
      </c>
      <c r="D60" s="72" t="s">
        <v>117</v>
      </c>
      <c r="E60" s="73">
        <f>1.1*A60+93</f>
        <v>153.5</v>
      </c>
    </row>
    <row r="61" spans="1:5" x14ac:dyDescent="0.2">
      <c r="A61" s="69">
        <v>40</v>
      </c>
      <c r="B61" s="70" t="s">
        <v>121</v>
      </c>
      <c r="C61" s="71">
        <f t="shared" si="2"/>
        <v>154</v>
      </c>
      <c r="D61" s="72" t="s">
        <v>123</v>
      </c>
      <c r="E61" s="73">
        <f>(1.1*A61+43)*1.2+50</f>
        <v>154.39999999999998</v>
      </c>
    </row>
    <row r="62" spans="1:5" x14ac:dyDescent="0.2">
      <c r="A62" s="69">
        <v>80</v>
      </c>
      <c r="B62" s="70">
        <v>80</v>
      </c>
      <c r="C62" s="71">
        <f t="shared" si="2"/>
        <v>148</v>
      </c>
      <c r="D62" s="72" t="s">
        <v>112</v>
      </c>
      <c r="E62" s="73">
        <f>1.1*B62+60</f>
        <v>148</v>
      </c>
    </row>
    <row r="63" spans="1:5" x14ac:dyDescent="0.2">
      <c r="A63" s="69">
        <v>50</v>
      </c>
      <c r="B63" s="70" t="s">
        <v>97</v>
      </c>
      <c r="C63" s="71">
        <f t="shared" si="2"/>
        <v>148</v>
      </c>
      <c r="D63" s="72" t="s">
        <v>118</v>
      </c>
      <c r="E63" s="73">
        <f>1.1*A63+93</f>
        <v>148</v>
      </c>
    </row>
    <row r="64" spans="1:5" x14ac:dyDescent="0.2">
      <c r="A64" s="69">
        <v>75</v>
      </c>
      <c r="B64" s="70">
        <v>75</v>
      </c>
      <c r="C64" s="71">
        <f t="shared" si="2"/>
        <v>143</v>
      </c>
      <c r="D64" s="72" t="s">
        <v>113</v>
      </c>
      <c r="E64" s="73">
        <f>1.1*B64+60</f>
        <v>142.5</v>
      </c>
    </row>
    <row r="65" spans="1:5" x14ac:dyDescent="0.2">
      <c r="A65" s="69">
        <v>44</v>
      </c>
      <c r="B65" s="70" t="s">
        <v>120</v>
      </c>
      <c r="C65" s="71">
        <f t="shared" si="2"/>
        <v>141</v>
      </c>
      <c r="D65" s="72" t="s">
        <v>124</v>
      </c>
      <c r="E65" s="73">
        <f>1.1*A65+93</f>
        <v>141.4</v>
      </c>
    </row>
    <row r="66" spans="1:5" x14ac:dyDescent="0.2">
      <c r="A66" s="69">
        <v>70</v>
      </c>
      <c r="B66" s="70">
        <v>70</v>
      </c>
      <c r="C66" s="71">
        <f t="shared" ref="C66:C73" si="3">ROUND(E66,0)</f>
        <v>137</v>
      </c>
      <c r="D66" s="72" t="s">
        <v>114</v>
      </c>
      <c r="E66" s="73">
        <f>1.1*B66+60</f>
        <v>137</v>
      </c>
    </row>
    <row r="67" spans="1:5" x14ac:dyDescent="0.2">
      <c r="A67" s="69">
        <v>40</v>
      </c>
      <c r="B67" s="70" t="s">
        <v>122</v>
      </c>
      <c r="C67" s="71">
        <f t="shared" si="3"/>
        <v>137</v>
      </c>
      <c r="D67" s="72" t="s">
        <v>123</v>
      </c>
      <c r="E67" s="73">
        <f>1.1*A67+93</f>
        <v>137</v>
      </c>
    </row>
    <row r="68" spans="1:5" x14ac:dyDescent="0.2">
      <c r="A68" s="69">
        <v>65</v>
      </c>
      <c r="B68" s="70">
        <v>65</v>
      </c>
      <c r="C68" s="71">
        <f t="shared" si="3"/>
        <v>132</v>
      </c>
      <c r="D68" s="72" t="s">
        <v>115</v>
      </c>
      <c r="E68" s="73">
        <f t="shared" ref="E68:E73" si="4">1.1*B68+60</f>
        <v>131.5</v>
      </c>
    </row>
    <row r="69" spans="1:5" x14ac:dyDescent="0.2">
      <c r="A69" s="69">
        <v>60</v>
      </c>
      <c r="B69" s="70">
        <v>60</v>
      </c>
      <c r="C69" s="71">
        <f t="shared" si="3"/>
        <v>126</v>
      </c>
      <c r="D69" s="72" t="s">
        <v>116</v>
      </c>
      <c r="E69" s="73">
        <f t="shared" si="4"/>
        <v>126</v>
      </c>
    </row>
    <row r="70" spans="1:5" x14ac:dyDescent="0.2">
      <c r="A70" s="69">
        <v>55</v>
      </c>
      <c r="B70" s="70">
        <v>55</v>
      </c>
      <c r="C70" s="71">
        <f t="shared" si="3"/>
        <v>121</v>
      </c>
      <c r="D70" s="72" t="s">
        <v>117</v>
      </c>
      <c r="E70" s="73">
        <f t="shared" si="4"/>
        <v>120.5</v>
      </c>
    </row>
    <row r="71" spans="1:5" x14ac:dyDescent="0.2">
      <c r="A71" s="69">
        <v>50</v>
      </c>
      <c r="B71" s="70">
        <v>50</v>
      </c>
      <c r="C71" s="71">
        <f t="shared" si="3"/>
        <v>115</v>
      </c>
      <c r="D71" s="72" t="s">
        <v>118</v>
      </c>
      <c r="E71" s="73">
        <f t="shared" si="4"/>
        <v>115</v>
      </c>
    </row>
    <row r="72" spans="1:5" x14ac:dyDescent="0.2">
      <c r="A72" s="69">
        <v>44</v>
      </c>
      <c r="B72" s="70">
        <v>44</v>
      </c>
      <c r="C72" s="71">
        <f t="shared" si="3"/>
        <v>108</v>
      </c>
      <c r="D72" s="72" t="s">
        <v>124</v>
      </c>
      <c r="E72" s="73">
        <f t="shared" si="4"/>
        <v>108.4</v>
      </c>
    </row>
    <row r="73" spans="1:5" x14ac:dyDescent="0.2">
      <c r="A73" s="69">
        <v>40</v>
      </c>
      <c r="B73" s="70">
        <v>40</v>
      </c>
      <c r="C73" s="71">
        <f t="shared" si="3"/>
        <v>104</v>
      </c>
      <c r="D73" s="72" t="s">
        <v>123</v>
      </c>
      <c r="E73" s="73">
        <f t="shared" si="4"/>
        <v>104</v>
      </c>
    </row>
  </sheetData>
  <sortState xmlns:xlrd2="http://schemas.microsoft.com/office/spreadsheetml/2017/richdata2" ref="A2:E74">
    <sortCondition descending="1" ref="C2:C7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配置与伤害</vt:lpstr>
      <vt:lpstr>速度线简化版</vt:lpstr>
      <vt:lpstr>速度线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2026-04-15T13:15:25Z</dcterms:modified>
</cp:coreProperties>
</file>